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252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nm._FilterDatabase" localSheetId="2" hidden="1">C̳álculos!$B$88:$C$95</definedName>
    <definedName name="SegmentaçãodeDados_Subscription_Type">#N/A</definedName>
  </definedNames>
  <calcPr calcId="152511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3" l="1"/>
  <c r="D36" i="3"/>
  <c r="D14" i="3"/>
  <c r="D115" i="3"/>
  <c r="D107" i="3"/>
  <c r="D100" i="3"/>
</calcChain>
</file>

<file path=xl/sharedStrings.xml><?xml version="1.0" encoding="utf-8"?>
<sst xmlns="http://schemas.openxmlformats.org/spreadsheetml/2006/main" count="2048" uniqueCount="334">
  <si>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</si>
  <si>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</si>
  <si>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</si>
  <si>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</si>
  <si>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</si>
  <si>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</si>
  <si>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</si>
  <si>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</si>
  <si>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</si>
  <si>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</si>
  <si>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</si>
  <si>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</si>
  <si>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</si>
  <si>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</si>
  <si>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</si>
  <si>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</si>
  <si>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</si>
  <si>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</si>
  <si>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</si>
  <si>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</si>
  <si>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</si>
  <si>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</si>
  <si>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</si>
  <si>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</si>
  <si>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</si>
  <si>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</si>
  <si>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</si>
  <si>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</si>
  <si>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</si>
  <si>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</si>
  <si>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</si>
  <si>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</si>
  <si>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</si>
  <si>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</si>
  <si>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</si>
  <si>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</si>
  <si>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</si>
  <si>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</si>
  <si>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</si>
  <si>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</si>
  <si>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</si>
  <si>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</si>
  <si>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</si>
  <si>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</si>
  <si>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</si>
  <si>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</si>
  <si>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</si>
  <si>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</si>
  <si>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</si>
  <si>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</si>
  <si>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</si>
  <si>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</si>
  <si>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</si>
  <si>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</si>
  <si>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</si>
  <si>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</si>
  <si>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</si>
  <si>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</si>
  <si>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</si>
  <si>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</si>
  <si>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</si>
  <si>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</si>
  <si>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</si>
  <si>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</si>
  <si>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</si>
  <si>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</si>
  <si>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</si>
  <si>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</si>
  <si>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</si>
  <si>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</si>
  <si>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</si>
  <si>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</si>
  <si>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</si>
  <si>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</si>
  <si>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</si>
  <si>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</si>
  <si>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</si>
  <si>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</si>
  <si>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</si>
  <si>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</si>
  <si>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</si>
  <si>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</si>
  <si>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</si>
  <si>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</si>
  <si>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</si>
  <si>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</si>
  <si>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</si>
  <si>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</si>
  <si>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</si>
  <si>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</si>
  <si>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</si>
  <si>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</si>
  <si>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</si>
  <si>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</si>
  <si>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</si>
  <si>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</si>
  <si>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</si>
  <si>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</si>
  <si>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</si>
  <si>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</si>
  <si>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</si>
  <si>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</si>
  <si>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</si>
  <si>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</si>
  <si>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</si>
  <si>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</si>
  <si>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</si>
  <si>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</si>
  <si>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</si>
  <si>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</si>
  <si>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</si>
  <si>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</si>
  <si>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</si>
  <si>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</si>
  <si>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</si>
  <si>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</si>
  <si>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</si>
  <si>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</si>
  <si>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</si>
  <si>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</si>
  <si>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</si>
  <si>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</si>
  <si>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</si>
  <si>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</si>
  <si>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</si>
  <si>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</si>
  <si>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</si>
  <si>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</si>
  <si>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</si>
  <si>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</si>
  <si>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</si>
  <si>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</si>
  <si>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</si>
  <si>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</si>
  <si>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</si>
  <si>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</si>
  <si>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</si>
  <si>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</si>
  <si>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</si>
  <si>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</si>
  <si>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</si>
  <si>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</si>
  <si>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</si>
  <si>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</si>
  <si>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</si>
  <si>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</si>
  <si>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</si>
  <si>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</si>
  <si>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</si>
  <si>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</si>
  <si>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</si>
  <si>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</si>
  <si>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</si>
  <si>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</si>
  <si>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</si>
  <si>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</si>
  <si>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</si>
  <si>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</si>
  <si>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</si>
  <si>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</si>
  <si>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</si>
  <si>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</si>
  <si>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</si>
  <si>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</si>
  <si>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</si>
  <si>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</si>
  <si>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</si>
  <si>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</si>
  <si>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</si>
  <si>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</si>
  <si>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</si>
  <si>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</si>
  <si>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</si>
  <si>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</si>
  <si>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</si>
  <si>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</si>
  <si>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</si>
  <si>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</si>
  <si>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</si>
  <si>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</si>
  <si>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</si>
  <si>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</si>
  <si>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</si>
  <si>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</si>
  <si>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</si>
  <si>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</si>
  <si>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</si>
  <si>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</si>
  <si>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</si>
  <si>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</si>
  <si>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</si>
  <si>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</si>
  <si>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</si>
  <si>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</si>
  <si>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</si>
  <si>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</si>
  <si>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</si>
  <si>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</si>
  <si>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</si>
  <si>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</si>
  <si>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</si>
  <si>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</si>
  <si>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</si>
  <si>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</si>
  <si>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</si>
  <si>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</si>
  <si>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</si>
  <si>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</si>
  <si>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</si>
  <si>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</si>
  <si>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</si>
  <si>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</si>
  <si>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</si>
  <si>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</si>
  <si>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</si>
  <si>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</si>
  <si>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</si>
  <si>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</si>
  <si>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</si>
  <si>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</si>
  <si>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</si>
  <si>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</si>
  <si>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</si>
  <si>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</si>
  <si>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</si>
  <si>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</si>
  <si>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</si>
  <si>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</si>
  <si>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</si>
  <si>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</si>
  <si>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</si>
  <si>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</si>
  <si>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</si>
  <si>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</si>
  <si>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</si>
  <si>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</si>
  <si>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</si>
  <si>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</si>
  <si>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</si>
  <si>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</si>
  <si>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</si>
  <si>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</si>
  <si>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</si>
  <si>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</si>
  <si>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</si>
  <si>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</si>
  <si>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</si>
  <si>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</si>
  <si>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</si>
  <si>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</si>
  <si>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</si>
  <si>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</si>
  <si>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</si>
  <si>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</si>
  <si>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</si>
  <si>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</si>
  <si>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</si>
  <si>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</si>
  <si>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</si>
  <si>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</si>
  <si>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</si>
  <si>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</si>
  <si>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</si>
  <si>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</si>
  <si>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</si>
  <si>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</si>
  <si>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</si>
  <si>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</si>
  <si>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</si>
  <si>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</si>
  <si>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</si>
  <si>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</si>
  <si>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</si>
  <si>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</si>
  <si>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</si>
  <si>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</si>
  <si>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</si>
  <si>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</si>
  <si>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</si>
  <si>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</si>
  <si>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</si>
  <si>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</si>
  <si>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</si>
  <si>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</si>
  <si>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</si>
  <si>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</si>
  <si>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</si>
  <si>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</si>
  <si>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</si>
  <si>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</si>
  <si>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</si>
  <si>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</si>
  <si>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</si>
  <si>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</si>
  <si>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</si>
  <si>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</si>
  <si>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</si>
  <si>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</si>
  <si>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</si>
  <si>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</si>
  <si>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</si>
  <si>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</si>
  <si>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</si>
  <si>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</si>
  <si>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</si>
  <si>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</si>
  <si>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</si>
  <si>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</si>
  <si>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</si>
  <si>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</si>
  <si>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</si>
  <si>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</si>
  <si>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</si>
  <si>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</t>
  </si>
  <si>
    <t>Qual ticket médio dos clientes analisados</t>
  </si>
  <si>
    <t>Rótulos de Linha</t>
  </si>
  <si>
    <t>(vazio)</t>
  </si>
  <si>
    <t>Total Geral</t>
  </si>
  <si>
    <t>Soma de Total Value</t>
  </si>
  <si>
    <t>Média de Total Value</t>
  </si>
  <si>
    <t>Pergunta 2</t>
  </si>
  <si>
    <t>Total de vendas</t>
  </si>
  <si>
    <t>Pergunta 3</t>
  </si>
  <si>
    <t>Total de descontos</t>
  </si>
  <si>
    <t>Soma de Coupon Value</t>
  </si>
  <si>
    <t>Perguta 4</t>
  </si>
  <si>
    <t>Ticket médio de desconto</t>
  </si>
  <si>
    <t>Média de Coupon Value</t>
  </si>
  <si>
    <t>Pergunta 5</t>
  </si>
  <si>
    <t>(Tudo)</t>
  </si>
  <si>
    <t>Grafico de valor total</t>
  </si>
  <si>
    <t>Soma de EA Play Season Pass</t>
  </si>
  <si>
    <t>Soma de Minecraft Season Pass Price</t>
  </si>
  <si>
    <t>Soma de 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</si>
</sst>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3" fillId="8" borderId="2" xfId="0" applyNumberFormat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455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color theme="1"/>
        <name val="Adobe Caslon Pro Bold"/>
        <scheme val="none"/>
      </font>
      <fill>
        <patternFill patternType="none">
          <bgColor auto="1"/>
        </patternFill>
      </fill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color theme="0"/>
      </font>
      <fill>
        <patternFill>
          <bgColor rgb="FF00B050"/>
        </patternFill>
      </fill>
      <border>
        <bottom style="thin">
          <color theme="9"/>
        </bottom>
        <vertical/>
        <horizontal/>
      </border>
    </dxf>
    <dxf>
      <font>
        <color theme="1"/>
        <name val="Adobe Caslon Pro Bold"/>
        <scheme val="non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B050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  <name val="Adobe Caslon Pro Bold"/>
        <scheme val="none"/>
      </font>
      <fill>
        <patternFill patternType="solid">
          <bgColor rgb="FF00B05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5" defaultTableStyle="TableStyleMedium2" defaultPivotStyle="PivotStyleLight16">
    <tableStyle name="SlicerStyleLight3 2" pivot="0" table="0" count="10">
      <tableStyleElement type="wholeTable" dxfId="432"/>
      <tableStyleElement type="headerRow" dxfId="431"/>
    </tableStyle>
    <tableStyle name="SlicerStyleLight6 2" pivot="0" table="0" count="10">
      <tableStyleElement type="wholeTable" dxfId="434"/>
      <tableStyleElement type="headerRow" dxfId="433"/>
    </tableStyle>
    <tableStyle name="SlicerStyleLight6 2 2" pivot="0" table="0" count="10">
      <tableStyleElement type="wholeTable" dxfId="440"/>
      <tableStyleElement type="headerRow" dxfId="439"/>
    </tableStyle>
    <tableStyle name="SlicerStyleLight6 3" pivot="0" table="0" count="10">
      <tableStyleElement type="wholeTable" dxfId="438"/>
      <tableStyleElement type="headerRow" dxfId="437"/>
    </tableStyle>
    <tableStyle name="SlicerStyleLight6 4" pivot="0" table="0" count="10">
      <tableStyleElement type="wholeTable" dxfId="436"/>
      <tableStyleElement type="headerRow" dxfId="435"/>
    </tableStyle>
  </tableStyles>
  <colors>
    <mruColors>
      <color rgb="FF9BC848"/>
      <color rgb="FF22C55E"/>
      <color rgb="FF888888"/>
      <color rgb="FFE8E6E9"/>
      <color rgb="FF5BF6A8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00B05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00B05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3 2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6 3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4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[Dashbord_Geysson.xlsx]C̳álculos!Tabela dinâmica5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C̳álculos!$B$91:$B$93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C̳álculos!$C$91:$C$93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578688"/>
        <c:axId val="1069573792"/>
      </c:barChart>
      <c:catAx>
        <c:axId val="106957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73792"/>
        <c:crosses val="autoZero"/>
        <c:auto val="1"/>
        <c:lblAlgn val="ctr"/>
        <c:lblOffset val="100"/>
        <c:noMultiLvlLbl val="0"/>
      </c:catAx>
      <c:valAx>
        <c:axId val="106957379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695786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[Dashbord_Geysson.xlsx]C̳álculos!Tabela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Adobe Caslon Pro Bold" panose="0205070206050A020403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8347174886721248E-2"/>
          <c:y val="0.18981481481481483"/>
          <c:w val="0.96253176375341143"/>
          <c:h val="0.75925925925925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dobe Caslon Pro Bold" panose="0205070206050A020403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C̳álculos!$B$91:$B$93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C̳álculos!$C$91:$C$93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277488"/>
        <c:axId val="1784278576"/>
      </c:barChart>
      <c:catAx>
        <c:axId val="178427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1050" b="0" i="0" u="none" strike="noStrike" kern="1200" baseline="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defRPr>
            </a:pPr>
            <a:endParaRPr lang="pt-BR"/>
          </a:p>
        </c:txPr>
        <c:crossAx val="1784278576"/>
        <c:crosses val="autoZero"/>
        <c:auto val="1"/>
        <c:lblAlgn val="ctr"/>
        <c:lblOffset val="100"/>
        <c:noMultiLvlLbl val="0"/>
      </c:catAx>
      <c:valAx>
        <c:axId val="178427857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7842774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11" Type="http://schemas.openxmlformats.org/officeDocument/2006/relationships/image" Target="../media/image6.png"/><Relationship Id="rId5" Type="http://schemas.openxmlformats.org/officeDocument/2006/relationships/image" Target="../media/image7.png"/><Relationship Id="rId10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129539</xdr:rowOff>
    </xdr:from>
    <xdr:to>
      <xdr:col>4</xdr:col>
      <xdr:colOff>168351</xdr:colOff>
      <xdr:row>31</xdr:row>
      <xdr:rowOff>120015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38100</xdr:colOff>
      <xdr:row>22</xdr:row>
      <xdr:rowOff>160020</xdr:rowOff>
    </xdr:from>
    <xdr:to>
      <xdr:col>6</xdr:col>
      <xdr:colOff>638175</xdr:colOff>
      <xdr:row>26</xdr:row>
      <xdr:rowOff>59055</xdr:rowOff>
    </xdr:to>
    <xdr:pic>
      <xdr:nvPicPr>
        <xdr:cNvPr id="19" name="Imagem 18" descr="Cifrão com luz - ícones de comércio grátis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" y="4381500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922020</xdr:colOff>
      <xdr:row>86</xdr:row>
      <xdr:rowOff>106681</xdr:rowOff>
    </xdr:from>
    <xdr:to>
      <xdr:col>5</xdr:col>
      <xdr:colOff>152400</xdr:colOff>
      <xdr:row>93</xdr:row>
      <xdr:rowOff>7621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2480" y="15179041"/>
              <a:ext cx="2042160" cy="1127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1116330</xdr:colOff>
      <xdr:row>85</xdr:row>
      <xdr:rowOff>129540</xdr:rowOff>
    </xdr:from>
    <xdr:to>
      <xdr:col>9</xdr:col>
      <xdr:colOff>102870</xdr:colOff>
      <xdr:row>101</xdr:row>
      <xdr:rowOff>68580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228599</xdr:colOff>
      <xdr:row>0</xdr:row>
      <xdr:rowOff>114300</xdr:rowOff>
    </xdr:from>
    <xdr:to>
      <xdr:col>21</xdr:col>
      <xdr:colOff>323849</xdr:colOff>
      <xdr:row>3</xdr:row>
      <xdr:rowOff>95249</xdr:rowOff>
    </xdr:to>
    <xdr:sp macro="" textlink="">
      <xdr:nvSpPr>
        <xdr:cNvPr id="3" name="Retângulo de cantos arredondados 2"/>
        <xdr:cNvSpPr/>
      </xdr:nvSpPr>
      <xdr:spPr>
        <a:xfrm>
          <a:off x="4952999" y="114300"/>
          <a:ext cx="9934575" cy="94297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/>
              </a:solidFill>
              <a:latin typeface="Adobe Caslon Pro Bold" panose="0205070206050A020403" pitchFamily="18" charset="0"/>
            </a:rPr>
            <a:t>Sales Rport - XBOX GAMES</a:t>
          </a:r>
        </a:p>
      </xdr:txBody>
    </xdr:sp>
    <xdr:clientData/>
  </xdr:twoCellAnchor>
  <xdr:twoCellAnchor editAs="absolute">
    <xdr:from>
      <xdr:col>1</xdr:col>
      <xdr:colOff>76201</xdr:colOff>
      <xdr:row>0</xdr:row>
      <xdr:rowOff>0</xdr:rowOff>
    </xdr:from>
    <xdr:to>
      <xdr:col>2</xdr:col>
      <xdr:colOff>390526</xdr:colOff>
      <xdr:row>4</xdr:row>
      <xdr:rowOff>32091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857376" y="0"/>
          <a:ext cx="590550" cy="641691"/>
        </a:xfrm>
        <a:prstGeom prst="rect">
          <a:avLst/>
        </a:prstGeom>
      </xdr:spPr>
    </xdr:pic>
    <xdr:clientData/>
  </xdr:twoCellAnchor>
  <xdr:twoCellAnchor>
    <xdr:from>
      <xdr:col>0</xdr:col>
      <xdr:colOff>381001</xdr:colOff>
      <xdr:row>0</xdr:row>
      <xdr:rowOff>152399</xdr:rowOff>
    </xdr:from>
    <xdr:to>
      <xdr:col>0</xdr:col>
      <xdr:colOff>1149249</xdr:colOff>
      <xdr:row>4</xdr:row>
      <xdr:rowOff>114300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>
          <a:spLocks noChangeAspect="1"/>
        </xdr:cNvSpPr>
      </xdr:nvSpPr>
      <xdr:spPr>
        <a:xfrm>
          <a:off x="381001" y="152399"/>
          <a:ext cx="768248" cy="571501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1514475</xdr:colOff>
      <xdr:row>7</xdr:row>
      <xdr:rowOff>114300</xdr:rowOff>
    </xdr:to>
    <xdr:sp macro="" textlink="">
      <xdr:nvSpPr>
        <xdr:cNvPr id="6" name="Retângulo de cantos arredondados 5"/>
        <xdr:cNvSpPr/>
      </xdr:nvSpPr>
      <xdr:spPr>
        <a:xfrm>
          <a:off x="19050" y="781050"/>
          <a:ext cx="1495425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dobe Caslon Pro Bold" panose="0205070206050A020403" pitchFamily="18" charset="0"/>
            </a:rPr>
            <a:t>Bem</a:t>
          </a:r>
          <a:r>
            <a:rPr lang="pt-BR" sz="1600" baseline="0">
              <a:solidFill>
                <a:schemeClr val="bg1"/>
              </a:solidFill>
              <a:latin typeface="Adobe Caslon Pro Bold" panose="0205070206050A020403" pitchFamily="18" charset="0"/>
            </a:rPr>
            <a:t> vinda</a:t>
          </a:r>
          <a:endParaRPr lang="pt-BR" sz="1600">
            <a:solidFill>
              <a:schemeClr val="bg1"/>
            </a:solidFill>
            <a:latin typeface="Adobe Caslon Pro Bold" panose="0205070206050A020403" pitchFamily="18" charset="0"/>
          </a:endParaRPr>
        </a:p>
      </xdr:txBody>
    </xdr:sp>
    <xdr:clientData/>
  </xdr:twoCellAnchor>
  <xdr:twoCellAnchor>
    <xdr:from>
      <xdr:col>1</xdr:col>
      <xdr:colOff>142875</xdr:colOff>
      <xdr:row>21</xdr:row>
      <xdr:rowOff>123825</xdr:rowOff>
    </xdr:from>
    <xdr:to>
      <xdr:col>25</xdr:col>
      <xdr:colOff>400050</xdr:colOff>
      <xdr:row>42</xdr:row>
      <xdr:rowOff>104775</xdr:rowOff>
    </xdr:to>
    <xdr:grpSp>
      <xdr:nvGrpSpPr>
        <xdr:cNvPr id="19" name="Grupo 18"/>
        <xdr:cNvGrpSpPr/>
      </xdr:nvGrpSpPr>
      <xdr:grpSpPr>
        <a:xfrm>
          <a:off x="1924050" y="3648075"/>
          <a:ext cx="15706725" cy="3581400"/>
          <a:chOff x="2019300" y="4086225"/>
          <a:chExt cx="15316200" cy="2743200"/>
        </a:xfrm>
      </xdr:grpSpPr>
      <xdr:graphicFrame macro="">
        <xdr:nvGraphicFramePr>
          <xdr:cNvPr id="15" name="Gráfico 14"/>
          <xdr:cNvGraphicFramePr>
            <a:graphicFrameLocks/>
          </xdr:cNvGraphicFramePr>
        </xdr:nvGraphicFramePr>
        <xdr:xfrm>
          <a:off x="2019300" y="4086225"/>
          <a:ext cx="15316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6" name="Retângulo de cantos arredondados 15"/>
          <xdr:cNvSpPr/>
        </xdr:nvSpPr>
        <xdr:spPr>
          <a:xfrm>
            <a:off x="2943225" y="4238625"/>
            <a:ext cx="13773150" cy="457200"/>
          </a:xfrm>
          <a:prstGeom prst="roundRect">
            <a:avLst/>
          </a:prstGeom>
          <a:noFill/>
          <a:ln w="38100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8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rPr>
              <a:t>Total de vendas</a:t>
            </a:r>
          </a:p>
        </xdr:txBody>
      </xdr:sp>
    </xdr:grpSp>
    <xdr:clientData/>
  </xdr:twoCellAnchor>
  <xdr:twoCellAnchor editAs="oneCell">
    <xdr:from>
      <xdr:col>0</xdr:col>
      <xdr:colOff>0</xdr:colOff>
      <xdr:row>10</xdr:row>
      <xdr:rowOff>104774</xdr:rowOff>
    </xdr:from>
    <xdr:to>
      <xdr:col>0</xdr:col>
      <xdr:colOff>1762125</xdr:colOff>
      <xdr:row>17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ubscription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43074"/>
              <a:ext cx="1762125" cy="1190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228600</xdr:colOff>
      <xdr:row>5</xdr:row>
      <xdr:rowOff>0</xdr:rowOff>
    </xdr:from>
    <xdr:to>
      <xdr:col>9</xdr:col>
      <xdr:colOff>390525</xdr:colOff>
      <xdr:row>12</xdr:row>
      <xdr:rowOff>28574</xdr:rowOff>
    </xdr:to>
    <xdr:grpSp>
      <xdr:nvGrpSpPr>
        <xdr:cNvPr id="31" name="Grupo 30"/>
        <xdr:cNvGrpSpPr/>
      </xdr:nvGrpSpPr>
      <xdr:grpSpPr>
        <a:xfrm>
          <a:off x="2009775" y="781050"/>
          <a:ext cx="5105400" cy="1228724"/>
          <a:chOff x="13401675" y="933449"/>
          <a:chExt cx="3733800" cy="847725"/>
        </a:xfrm>
      </xdr:grpSpPr>
      <xdr:grpSp>
        <xdr:nvGrpSpPr>
          <xdr:cNvPr id="29" name="Grupo 28"/>
          <xdr:cNvGrpSpPr/>
        </xdr:nvGrpSpPr>
        <xdr:grpSpPr>
          <a:xfrm>
            <a:off x="13401675" y="933449"/>
            <a:ext cx="3733800" cy="847725"/>
            <a:chOff x="2038350" y="895350"/>
            <a:chExt cx="3476625" cy="457200"/>
          </a:xfrm>
        </xdr:grpSpPr>
        <xdr:sp macro="" textlink="">
          <xdr:nvSpPr>
            <xdr:cNvPr id="8" name="Retângulo de cantos arredondados 7"/>
            <xdr:cNvSpPr/>
          </xdr:nvSpPr>
          <xdr:spPr>
            <a:xfrm>
              <a:off x="2038350" y="895350"/>
              <a:ext cx="3324225" cy="457200"/>
            </a:xfrm>
            <a:prstGeom prst="roundRect">
              <a:avLst/>
            </a:prstGeom>
            <a:noFill/>
            <a:ln w="38100">
              <a:solidFill>
                <a:srgbClr val="92D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400">
                  <a:solidFill>
                    <a:schemeClr val="tx1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Ticket Médio</a:t>
              </a:r>
            </a:p>
          </xdr:txBody>
        </xdr:sp>
        <xdr:sp macro="" textlink="C̳álculos!D14">
          <xdr:nvSpPr>
            <xdr:cNvPr id="28" name="Retângulo 27"/>
            <xdr:cNvSpPr/>
          </xdr:nvSpPr>
          <xdr:spPr>
            <a:xfrm>
              <a:off x="4038600" y="927564"/>
              <a:ext cx="1476375" cy="390525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46504CF0-F60E-4C9F-82E7-EDAF86D151EE}" type="TxLink">
                <a:rPr lang="en-US" sz="1400" b="1" i="0" u="none" strike="noStrike">
                  <a:solidFill>
                    <a:srgbClr val="000000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R$ 25,87</a:t>
              </a:fld>
              <a:endParaRPr lang="pt-BR" sz="16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endParaRPr>
            </a:p>
          </xdr:txBody>
        </xdr:sp>
      </xdr:grpSp>
      <xdr:pic>
        <xdr:nvPicPr>
          <xdr:cNvPr id="30" name="Imagem 29" descr="Cifrão com luz - ícones de comércio grátis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92175" y="1078229"/>
            <a:ext cx="600075" cy="6000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9</xdr:col>
      <xdr:colOff>666749</xdr:colOff>
      <xdr:row>4</xdr:row>
      <xdr:rowOff>142876</xdr:rowOff>
    </xdr:from>
    <xdr:to>
      <xdr:col>17</xdr:col>
      <xdr:colOff>504825</xdr:colOff>
      <xdr:row>11</xdr:row>
      <xdr:rowOff>152400</xdr:rowOff>
    </xdr:to>
    <xdr:grpSp>
      <xdr:nvGrpSpPr>
        <xdr:cNvPr id="32" name="Grupo 31"/>
        <xdr:cNvGrpSpPr/>
      </xdr:nvGrpSpPr>
      <xdr:grpSpPr>
        <a:xfrm>
          <a:off x="7391399" y="752476"/>
          <a:ext cx="5010151" cy="1209674"/>
          <a:chOff x="13401675" y="933449"/>
          <a:chExt cx="3733800" cy="847725"/>
        </a:xfrm>
      </xdr:grpSpPr>
      <xdr:grpSp>
        <xdr:nvGrpSpPr>
          <xdr:cNvPr id="33" name="Grupo 32"/>
          <xdr:cNvGrpSpPr/>
        </xdr:nvGrpSpPr>
        <xdr:grpSpPr>
          <a:xfrm>
            <a:off x="13401675" y="933449"/>
            <a:ext cx="3733800" cy="847725"/>
            <a:chOff x="2038350" y="895350"/>
            <a:chExt cx="3476625" cy="457200"/>
          </a:xfrm>
        </xdr:grpSpPr>
        <xdr:sp macro="" textlink="">
          <xdr:nvSpPr>
            <xdr:cNvPr id="35" name="Retângulo de cantos arredondados 34"/>
            <xdr:cNvSpPr/>
          </xdr:nvSpPr>
          <xdr:spPr>
            <a:xfrm>
              <a:off x="2038350" y="895350"/>
              <a:ext cx="3324225" cy="457200"/>
            </a:xfrm>
            <a:prstGeom prst="roundRect">
              <a:avLst/>
            </a:prstGeom>
            <a:noFill/>
            <a:ln w="38100">
              <a:solidFill>
                <a:srgbClr val="92D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400">
                  <a:solidFill>
                    <a:schemeClr val="tx1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Total</a:t>
              </a:r>
              <a:r>
                <a:rPr lang="pt-BR" sz="1400" baseline="0">
                  <a:solidFill>
                    <a:schemeClr val="tx1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 de vendas</a:t>
              </a:r>
              <a:endParaRPr lang="pt-BR" sz="14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endParaRPr>
            </a:p>
          </xdr:txBody>
        </xdr:sp>
        <xdr:sp macro="" textlink="C̳álculos!D36">
          <xdr:nvSpPr>
            <xdr:cNvPr id="36" name="Retângulo 35"/>
            <xdr:cNvSpPr/>
          </xdr:nvSpPr>
          <xdr:spPr>
            <a:xfrm>
              <a:off x="4038600" y="912153"/>
              <a:ext cx="1476375" cy="390525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450B8ECE-206A-448D-9275-C8F7DD3CE1FE}" type="TxLink">
                <a:rPr lang="en-US" sz="1400" b="1" i="0" u="none" strike="noStrike">
                  <a:solidFill>
                    <a:srgbClr val="000000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R$ 7.633,00</a:t>
              </a:fld>
              <a:endParaRPr lang="pt-BR" sz="14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endParaRPr>
            </a:p>
          </xdr:txBody>
        </xdr:sp>
      </xdr:grpSp>
      <xdr:pic>
        <xdr:nvPicPr>
          <xdr:cNvPr id="34" name="Imagem 33" descr="Cifrão com luz - ícones de comércio grátis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92175" y="1078229"/>
            <a:ext cx="600075" cy="600075"/>
          </a:xfrm>
          <a:prstGeom prst="rect">
            <a:avLst/>
          </a:prstGeom>
          <a:noFill/>
          <a:ln w="38100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18</xdr:col>
      <xdr:colOff>190499</xdr:colOff>
      <xdr:row>4</xdr:row>
      <xdr:rowOff>114300</xdr:rowOff>
    </xdr:from>
    <xdr:to>
      <xdr:col>26</xdr:col>
      <xdr:colOff>180974</xdr:colOff>
      <xdr:row>11</xdr:row>
      <xdr:rowOff>123825</xdr:rowOff>
    </xdr:to>
    <xdr:grpSp>
      <xdr:nvGrpSpPr>
        <xdr:cNvPr id="37" name="Grupo 36"/>
        <xdr:cNvGrpSpPr/>
      </xdr:nvGrpSpPr>
      <xdr:grpSpPr>
        <a:xfrm>
          <a:off x="12753974" y="723900"/>
          <a:ext cx="5324475" cy="1209675"/>
          <a:chOff x="13401675" y="933449"/>
          <a:chExt cx="3905250" cy="847725"/>
        </a:xfrm>
      </xdr:grpSpPr>
      <xdr:grpSp>
        <xdr:nvGrpSpPr>
          <xdr:cNvPr id="38" name="Grupo 37"/>
          <xdr:cNvGrpSpPr/>
        </xdr:nvGrpSpPr>
        <xdr:grpSpPr>
          <a:xfrm>
            <a:off x="13401675" y="933449"/>
            <a:ext cx="3905250" cy="847725"/>
            <a:chOff x="2038350" y="895350"/>
            <a:chExt cx="3636266" cy="457200"/>
          </a:xfrm>
        </xdr:grpSpPr>
        <xdr:sp macro="" textlink="">
          <xdr:nvSpPr>
            <xdr:cNvPr id="40" name="Retângulo de cantos arredondados 39"/>
            <xdr:cNvSpPr/>
          </xdr:nvSpPr>
          <xdr:spPr>
            <a:xfrm>
              <a:off x="2038350" y="895350"/>
              <a:ext cx="3324225" cy="457200"/>
            </a:xfrm>
            <a:prstGeom prst="roundRect">
              <a:avLst/>
            </a:prstGeom>
            <a:noFill/>
            <a:ln w="38100">
              <a:solidFill>
                <a:srgbClr val="92D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400">
                  <a:solidFill>
                    <a:schemeClr val="tx1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Total de</a:t>
              </a:r>
              <a:r>
                <a:rPr lang="pt-BR" sz="1400" baseline="0">
                  <a:solidFill>
                    <a:schemeClr val="tx1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 Descontos</a:t>
              </a:r>
              <a:endParaRPr lang="pt-BR" sz="14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endParaRPr>
            </a:p>
          </xdr:txBody>
        </xdr:sp>
        <xdr:sp macro="" textlink="C̳álculos!D61">
          <xdr:nvSpPr>
            <xdr:cNvPr id="41" name="Retângulo 40"/>
            <xdr:cNvSpPr/>
          </xdr:nvSpPr>
          <xdr:spPr>
            <a:xfrm>
              <a:off x="4198241" y="917290"/>
              <a:ext cx="1476375" cy="390525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3CC9A15F-BD23-4D57-B63B-E7767B02B454}" type="TxLink">
                <a:rPr lang="en-US" sz="1400" b="1" i="0" u="none" strike="noStrike">
                  <a:solidFill>
                    <a:srgbClr val="000000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R$ 2.122,00</a:t>
              </a:fld>
              <a:endParaRPr lang="pt-BR" sz="14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endParaRPr>
            </a:p>
          </xdr:txBody>
        </xdr:sp>
      </xdr:grpSp>
      <xdr:pic>
        <xdr:nvPicPr>
          <xdr:cNvPr id="39" name="Imagem 38" descr="Cifrão com luz - ícones de comércio grátis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92175" y="1078229"/>
            <a:ext cx="600075" cy="600075"/>
          </a:xfrm>
          <a:prstGeom prst="rect">
            <a:avLst/>
          </a:prstGeom>
          <a:noFill/>
          <a:ln w="38100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161925</xdr:colOff>
      <xdr:row>13</xdr:row>
      <xdr:rowOff>19050</xdr:rowOff>
    </xdr:from>
    <xdr:to>
      <xdr:col>9</xdr:col>
      <xdr:colOff>190500</xdr:colOff>
      <xdr:row>20</xdr:row>
      <xdr:rowOff>95250</xdr:rowOff>
    </xdr:to>
    <xdr:grpSp>
      <xdr:nvGrpSpPr>
        <xdr:cNvPr id="47" name="Grupo 46"/>
        <xdr:cNvGrpSpPr/>
      </xdr:nvGrpSpPr>
      <xdr:grpSpPr>
        <a:xfrm>
          <a:off x="1943100" y="2171700"/>
          <a:ext cx="4972050" cy="1276350"/>
          <a:chOff x="1943100" y="2171700"/>
          <a:chExt cx="5081626" cy="1228724"/>
        </a:xfrm>
      </xdr:grpSpPr>
      <xdr:grpSp>
        <xdr:nvGrpSpPr>
          <xdr:cNvPr id="25" name="Agrupar 16">
            <a:extLst>
              <a:ext uri="{FF2B5EF4-FFF2-40B4-BE49-F238E27FC236}">
                <a16:creationId xmlns:a16="http://schemas.microsoft.com/office/drawing/2014/main" xmlns="" id="{A71E6AF1-ADEE-EB3B-0380-7B4EF5640C97}"/>
              </a:ext>
            </a:extLst>
          </xdr:cNvPr>
          <xdr:cNvGrpSpPr/>
        </xdr:nvGrpSpPr>
        <xdr:grpSpPr>
          <a:xfrm>
            <a:off x="3476625" y="2676525"/>
            <a:ext cx="1819275" cy="561975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xmlns="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13">
              <a:extLst>
                <a:ext uri="{FF2B5EF4-FFF2-40B4-BE49-F238E27FC236}">
                  <a16:creationId xmlns:a16="http://schemas.microsoft.com/office/drawing/2014/main" xmlns="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grpSp>
        <xdr:nvGrpSpPr>
          <xdr:cNvPr id="43" name="Grupo 42"/>
          <xdr:cNvGrpSpPr/>
        </xdr:nvGrpSpPr>
        <xdr:grpSpPr>
          <a:xfrm>
            <a:off x="1943100" y="2171700"/>
            <a:ext cx="5081626" cy="1228724"/>
            <a:chOff x="2038350" y="895350"/>
            <a:chExt cx="3324225" cy="457200"/>
          </a:xfrm>
        </xdr:grpSpPr>
        <xdr:sp macro="" textlink="">
          <xdr:nvSpPr>
            <xdr:cNvPr id="45" name="Retângulo de cantos arredondados 44"/>
            <xdr:cNvSpPr/>
          </xdr:nvSpPr>
          <xdr:spPr>
            <a:xfrm>
              <a:off x="2038350" y="895350"/>
              <a:ext cx="3324225" cy="457200"/>
            </a:xfrm>
            <a:prstGeom prst="roundRect">
              <a:avLst/>
            </a:prstGeom>
            <a:noFill/>
            <a:ln w="38100">
              <a:solidFill>
                <a:srgbClr val="92D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r>
                <a:rPr lang="pt-BR" sz="1800">
                  <a:solidFill>
                    <a:schemeClr val="tx1"/>
                  </a:solidFill>
                  <a:effectLst/>
                  <a:latin typeface="Adobe Caslon Pro Bold" panose="0205070206050A020403" pitchFamily="18" charset="0"/>
                  <a:ea typeface="+mn-ea"/>
                  <a:cs typeface="+mn-cs"/>
                </a:rPr>
                <a:t>Total Minecraft Season Pass Pricess</a:t>
              </a:r>
              <a:endParaRPr lang="pt-BR" sz="2400">
                <a:solidFill>
                  <a:schemeClr val="tx1"/>
                </a:solidFill>
                <a:effectLst/>
                <a:latin typeface="Adobe Caslon Pro Bold" panose="0205070206050A020403" pitchFamily="18" charset="0"/>
              </a:endParaRPr>
            </a:p>
          </xdr:txBody>
        </xdr:sp>
        <xdr:sp macro="" textlink="C̳álculos!D107">
          <xdr:nvSpPr>
            <xdr:cNvPr id="46" name="Retângulo 45"/>
            <xdr:cNvSpPr/>
          </xdr:nvSpPr>
          <xdr:spPr>
            <a:xfrm>
              <a:off x="4606902" y="930792"/>
              <a:ext cx="739431" cy="224265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A2B395E0-90BB-4E48-AA13-0123F79B0AA7}" type="TxLink">
                <a:rPr lang="en-US" sz="1400" b="1" i="0" u="none" strike="noStrike">
                  <a:solidFill>
                    <a:srgbClr val="000000"/>
                  </a:solidFill>
                  <a:latin typeface="Adobe Caslon Pro Bold" panose="0205070206050A020403" pitchFamily="18" charset="0"/>
                  <a:ea typeface="+mn-ea"/>
                  <a:cs typeface="+mn-cs"/>
                </a:rPr>
                <a:t>R$ 3.880,00</a:t>
              </a:fld>
              <a:endParaRPr lang="pt-BR" sz="1600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9</xdr:col>
      <xdr:colOff>590550</xdr:colOff>
      <xdr:row>13</xdr:row>
      <xdr:rowOff>9525</xdr:rowOff>
    </xdr:from>
    <xdr:to>
      <xdr:col>17</xdr:col>
      <xdr:colOff>390525</xdr:colOff>
      <xdr:row>20</xdr:row>
      <xdr:rowOff>85725</xdr:rowOff>
    </xdr:to>
    <xdr:grpSp>
      <xdr:nvGrpSpPr>
        <xdr:cNvPr id="50" name="Grupo 49"/>
        <xdr:cNvGrpSpPr/>
      </xdr:nvGrpSpPr>
      <xdr:grpSpPr>
        <a:xfrm>
          <a:off x="7315200" y="2162175"/>
          <a:ext cx="4972050" cy="1276350"/>
          <a:chOff x="2038350" y="895350"/>
          <a:chExt cx="3324225" cy="457200"/>
        </a:xfrm>
      </xdr:grpSpPr>
      <xdr:sp macro="" textlink="">
        <xdr:nvSpPr>
          <xdr:cNvPr id="51" name="Retângulo de cantos arredondados 50"/>
          <xdr:cNvSpPr/>
        </xdr:nvSpPr>
        <xdr:spPr>
          <a:xfrm>
            <a:off x="2038350" y="895350"/>
            <a:ext cx="3324225" cy="457200"/>
          </a:xfrm>
          <a:prstGeom prst="roundRect">
            <a:avLst/>
          </a:prstGeom>
          <a:noFill/>
          <a:ln w="38100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pt-BR" sz="1800">
                <a:solidFill>
                  <a:schemeClr val="tx1"/>
                </a:solidFill>
                <a:effectLst/>
                <a:latin typeface="Adobe Caslon Pro Bold" panose="0205070206050A020403" pitchFamily="18" charset="0"/>
                <a:ea typeface="+mn-ea"/>
                <a:cs typeface="+mn-cs"/>
              </a:rPr>
              <a:t>Total EA Play Season Pass</a:t>
            </a:r>
            <a:endParaRPr lang="pt-BR" sz="2400">
              <a:solidFill>
                <a:schemeClr val="tx1"/>
              </a:solidFill>
              <a:effectLst/>
              <a:latin typeface="Adobe Caslon Pro Bold" panose="0205070206050A020403" pitchFamily="18" charset="0"/>
            </a:endParaRPr>
          </a:p>
        </xdr:txBody>
      </xdr:sp>
      <xdr:sp macro="" textlink="C̳álculos!D100">
        <xdr:nvSpPr>
          <xdr:cNvPr id="52" name="Retângulo 51"/>
          <xdr:cNvSpPr/>
        </xdr:nvSpPr>
        <xdr:spPr>
          <a:xfrm>
            <a:off x="4606902" y="930792"/>
            <a:ext cx="739431" cy="224265"/>
          </a:xfrm>
          <a:prstGeom prst="rect">
            <a:avLst/>
          </a:prstGeom>
          <a:noFill/>
          <a:ln w="381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F9F03692-F38D-474E-8A57-295A14923BB1}" type="TxLink">
              <a:rPr lang="en-US" sz="1400" b="1" i="0" u="none" strike="noStrike">
                <a:solidFill>
                  <a:schemeClr val="tx1"/>
                </a:solidFill>
                <a:latin typeface="Adobe Caslon Pro Bold" panose="0205070206050A020403" pitchFamily="18" charset="0"/>
                <a:ea typeface="+mn-ea"/>
                <a:cs typeface="+mn-cs"/>
              </a:rPr>
              <a:t>R$ 2.940,00</a:t>
            </a:fld>
            <a:endParaRPr lang="pt-BR" sz="1400">
              <a:solidFill>
                <a:schemeClr val="tx1"/>
              </a:solidFill>
              <a:latin typeface="Adobe Caslon Pro Bold" panose="0205070206050A020403" pitchFamily="18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18</xdr:col>
      <xdr:colOff>133350</xdr:colOff>
      <xdr:row>13</xdr:row>
      <xdr:rowOff>47625</xdr:rowOff>
    </xdr:from>
    <xdr:to>
      <xdr:col>25</xdr:col>
      <xdr:colOff>438150</xdr:colOff>
      <xdr:row>20</xdr:row>
      <xdr:rowOff>123825</xdr:rowOff>
    </xdr:to>
    <xdr:grpSp>
      <xdr:nvGrpSpPr>
        <xdr:cNvPr id="57" name="Grupo 56"/>
        <xdr:cNvGrpSpPr/>
      </xdr:nvGrpSpPr>
      <xdr:grpSpPr>
        <a:xfrm>
          <a:off x="12696825" y="2200275"/>
          <a:ext cx="4972050" cy="1276350"/>
          <a:chOff x="2038350" y="895350"/>
          <a:chExt cx="3324225" cy="457200"/>
        </a:xfrm>
      </xdr:grpSpPr>
      <xdr:sp macro="" textlink="">
        <xdr:nvSpPr>
          <xdr:cNvPr id="58" name="Retângulo de cantos arredondados 57"/>
          <xdr:cNvSpPr/>
        </xdr:nvSpPr>
        <xdr:spPr>
          <a:xfrm>
            <a:off x="2038350" y="895350"/>
            <a:ext cx="3324225" cy="457200"/>
          </a:xfrm>
          <a:prstGeom prst="roundRect">
            <a:avLst/>
          </a:prstGeom>
          <a:noFill/>
          <a:ln w="38100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lang="pt-BR" sz="1800">
                <a:solidFill>
                  <a:schemeClr val="tx1"/>
                </a:solidFill>
                <a:effectLst/>
                <a:latin typeface="Adobe Caslon Pro Bold" panose="0205070206050A020403" pitchFamily="18" charset="0"/>
                <a:ea typeface="+mn-ea"/>
                <a:cs typeface="+mn-cs"/>
              </a:rPr>
              <a:t>Total Subscription Pricess</a:t>
            </a:r>
            <a:endParaRPr lang="pt-BR" sz="2400">
              <a:solidFill>
                <a:schemeClr val="tx1"/>
              </a:solidFill>
              <a:effectLst/>
              <a:latin typeface="Adobe Caslon Pro Bold" panose="0205070206050A020403" pitchFamily="18" charset="0"/>
            </a:endParaRPr>
          </a:p>
        </xdr:txBody>
      </xdr:sp>
      <xdr:sp macro="" textlink="C̳álculos!D115">
        <xdr:nvSpPr>
          <xdr:cNvPr id="59" name="Retângulo 58"/>
          <xdr:cNvSpPr/>
        </xdr:nvSpPr>
        <xdr:spPr>
          <a:xfrm>
            <a:off x="4606902" y="930792"/>
            <a:ext cx="739431" cy="224265"/>
          </a:xfrm>
          <a:prstGeom prst="rect">
            <a:avLst/>
          </a:prstGeom>
          <a:noFill/>
          <a:ln w="381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ACB77475-FAC2-41CE-8C50-8654168AA993}" type="TxLink">
              <a:rPr lang="en-US" sz="1400" b="1" i="0" u="none" strike="noStrike">
                <a:solidFill>
                  <a:srgbClr val="000000"/>
                </a:solidFill>
                <a:latin typeface="Adobe Caslon Pro Bold" panose="0205070206050A020403" pitchFamily="18" charset="0"/>
                <a:ea typeface="+mn-ea"/>
                <a:cs typeface="+mn-cs"/>
              </a:rPr>
              <a:t>R$ 2.935,00</a:t>
            </a:fld>
            <a:endParaRPr lang="pt-BR" sz="1400">
              <a:solidFill>
                <a:schemeClr val="tx1"/>
              </a:solidFill>
              <a:latin typeface="Adobe Caslon Pro Bold" panose="0205070206050A020403" pitchFamily="18" charset="0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12</xdr:col>
      <xdr:colOff>390525</xdr:colOff>
      <xdr:row>14</xdr:row>
      <xdr:rowOff>95250</xdr:rowOff>
    </xdr:from>
    <xdr:to>
      <xdr:col>14</xdr:col>
      <xdr:colOff>398145</xdr:colOff>
      <xdr:row>21</xdr:row>
      <xdr:rowOff>15240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2419350"/>
          <a:ext cx="1341120" cy="1120140"/>
        </a:xfrm>
        <a:prstGeom prst="rect">
          <a:avLst/>
        </a:prstGeom>
      </xdr:spPr>
    </xdr:pic>
    <xdr:clientData/>
  </xdr:twoCellAnchor>
  <xdr:twoCellAnchor editAs="oneCell">
    <xdr:from>
      <xdr:col>19</xdr:col>
      <xdr:colOff>438150</xdr:colOff>
      <xdr:row>15</xdr:row>
      <xdr:rowOff>38100</xdr:rowOff>
    </xdr:from>
    <xdr:to>
      <xdr:col>24</xdr:col>
      <xdr:colOff>295275</xdr:colOff>
      <xdr:row>21</xdr:row>
      <xdr:rowOff>31623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8375" y="2533650"/>
          <a:ext cx="3190875" cy="102222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99.37157372685" createdVersion="5" refreshedVersion="5" minRefreshableVersion="3" recordCount="296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 count="296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m/>
      </sharedItems>
    </cacheField>
    <cacheField name="Name" numFmtId="0">
      <sharedItems containsBlank="1"/>
    </cacheField>
    <cacheField name="Plan" numFmtId="0">
      <sharedItems containsBlank="1"/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 count="4">
        <n v="15"/>
        <n v="5"/>
        <n v="10"/>
        <m/>
      </sharedItems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 count="3">
        <n v="20"/>
        <n v="0"/>
        <m/>
      </sharedItems>
    </cacheField>
    <cacheField name="Coupon Value" numFmtId="0">
      <sharedItems containsString="0" containsBlank="1" containsNumber="1" containsInteger="1" minValue="0" maxValue="20" count="12">
        <n v="5"/>
        <n v="0"/>
        <n v="10"/>
        <n v="3"/>
        <n v="1"/>
        <n v="2"/>
        <n v="15"/>
        <n v="20"/>
        <n v="8"/>
        <n v="12"/>
        <n v="7"/>
        <m/>
      </sharedItems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</cacheFields>
  <extLst>
    <ext xmlns:x14="http://schemas.microsoft.com/office/spreadsheetml/2009/9/main" uri="{725AE2AE-9491-48be-B2B4-4EB974FC3084}">
      <x14:pivotCacheDefinition pivotCacheId="17659565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">
  <r>
    <x v="0"/>
    <s v="João Silva"/>
    <s v="Ultimate"/>
    <d v="2024-01-01T00:00:00"/>
    <x v="0"/>
    <x v="0"/>
    <x v="0"/>
    <s v="Yes"/>
    <n v="30"/>
    <s v="Yes"/>
    <x v="0"/>
    <x v="0"/>
    <x v="0"/>
  </r>
  <r>
    <x v="1"/>
    <s v="Maria Oliveira"/>
    <s v="Core"/>
    <d v="2024-01-15T00:00:00"/>
    <x v="1"/>
    <x v="1"/>
    <x v="1"/>
    <s v="No"/>
    <s v="-"/>
    <s v="No"/>
    <x v="1"/>
    <x v="1"/>
    <x v="1"/>
  </r>
  <r>
    <x v="2"/>
    <s v="Lucas Fernandes"/>
    <s v="Standard"/>
    <d v="2024-02-10T00:00:00"/>
    <x v="0"/>
    <x v="2"/>
    <x v="2"/>
    <s v="No"/>
    <s v="-"/>
    <s v="Yes"/>
    <x v="0"/>
    <x v="2"/>
    <x v="2"/>
  </r>
  <r>
    <x v="3"/>
    <s v="Ana Souza"/>
    <s v="Ultimate"/>
    <d v="2024-02-20T00:00:00"/>
    <x v="1"/>
    <x v="0"/>
    <x v="0"/>
    <s v="Yes"/>
    <n v="30"/>
    <s v="Yes"/>
    <x v="0"/>
    <x v="3"/>
    <x v="3"/>
  </r>
  <r>
    <x v="4"/>
    <s v="Pedro Gonçalves"/>
    <s v="Core"/>
    <d v="2024-03-05T00:00:00"/>
    <x v="0"/>
    <x v="1"/>
    <x v="0"/>
    <s v="No"/>
    <s v="-"/>
    <s v="No"/>
    <x v="1"/>
    <x v="4"/>
    <x v="4"/>
  </r>
  <r>
    <x v="5"/>
    <s v="Felipe Costa"/>
    <s v="Standard"/>
    <d v="2024-03-02T00:00:00"/>
    <x v="1"/>
    <x v="2"/>
    <x v="0"/>
    <s v="No"/>
    <s v="-"/>
    <s v="Yes"/>
    <x v="0"/>
    <x v="5"/>
    <x v="5"/>
  </r>
  <r>
    <x v="6"/>
    <s v="Camila Ribeiro"/>
    <s v="Ultimate"/>
    <d v="2024-03-03T00:00:00"/>
    <x v="0"/>
    <x v="0"/>
    <x v="2"/>
    <s v="Yes"/>
    <n v="30"/>
    <s v="Yes"/>
    <x v="0"/>
    <x v="2"/>
    <x v="6"/>
  </r>
  <r>
    <x v="7"/>
    <s v="André Mendes"/>
    <s v="Core"/>
    <d v="2024-03-04T00:00:00"/>
    <x v="0"/>
    <x v="1"/>
    <x v="1"/>
    <s v="No"/>
    <s v="-"/>
    <s v="No"/>
    <x v="1"/>
    <x v="1"/>
    <x v="1"/>
  </r>
  <r>
    <x v="8"/>
    <s v="Sofia Almeida"/>
    <s v="Ultimate"/>
    <d v="2024-03-05T00:00:00"/>
    <x v="1"/>
    <x v="0"/>
    <x v="0"/>
    <s v="Yes"/>
    <n v="30"/>
    <s v="Yes"/>
    <x v="0"/>
    <x v="0"/>
    <x v="0"/>
  </r>
  <r>
    <x v="9"/>
    <s v="Bruno Martins"/>
    <s v="Standard"/>
    <d v="2024-03-06T00:00:00"/>
    <x v="0"/>
    <x v="2"/>
    <x v="2"/>
    <s v="No"/>
    <s v="-"/>
    <s v="Yes"/>
    <x v="0"/>
    <x v="6"/>
    <x v="7"/>
  </r>
  <r>
    <x v="10"/>
    <s v="Rita Castro"/>
    <s v="Core"/>
    <d v="2024-03-07T00:00:00"/>
    <x v="1"/>
    <x v="1"/>
    <x v="0"/>
    <s v="No"/>
    <s v="-"/>
    <s v="No"/>
    <x v="1"/>
    <x v="4"/>
    <x v="4"/>
  </r>
  <r>
    <x v="11"/>
    <s v="Marco Túlio"/>
    <s v="Ultimate"/>
    <d v="2024-03-08T00:00:00"/>
    <x v="0"/>
    <x v="0"/>
    <x v="1"/>
    <s v="Yes"/>
    <n v="30"/>
    <s v="Yes"/>
    <x v="0"/>
    <x v="7"/>
    <x v="8"/>
  </r>
  <r>
    <x v="12"/>
    <s v="Lívia Silveira"/>
    <s v="Standard"/>
    <d v="2024-03-09T00:00:00"/>
    <x v="1"/>
    <x v="2"/>
    <x v="0"/>
    <s v="No"/>
    <s v="-"/>
    <s v="Yes"/>
    <x v="0"/>
    <x v="2"/>
    <x v="2"/>
  </r>
  <r>
    <x v="13"/>
    <s v="Diogo Sousa"/>
    <s v="Core"/>
    <d v="2024-03-10T00:00:00"/>
    <x v="0"/>
    <x v="1"/>
    <x v="2"/>
    <s v="No"/>
    <s v="-"/>
    <s v="No"/>
    <x v="1"/>
    <x v="1"/>
    <x v="1"/>
  </r>
  <r>
    <x v="14"/>
    <s v="Fernanda Lima"/>
    <s v="Ultimate"/>
    <d v="2024-03-11T00:00:00"/>
    <x v="1"/>
    <x v="0"/>
    <x v="0"/>
    <s v="Yes"/>
    <n v="30"/>
    <s v="Yes"/>
    <x v="0"/>
    <x v="8"/>
    <x v="9"/>
  </r>
  <r>
    <x v="15"/>
    <s v="Caio Pereira"/>
    <s v="Standard"/>
    <d v="2024-03-12T00:00:00"/>
    <x v="0"/>
    <x v="2"/>
    <x v="1"/>
    <s v="No"/>
    <s v="-"/>
    <s v="Yes"/>
    <x v="0"/>
    <x v="9"/>
    <x v="10"/>
  </r>
  <r>
    <x v="16"/>
    <s v="Beatriz Gomes"/>
    <s v="Core"/>
    <d v="2024-03-13T00:00:00"/>
    <x v="1"/>
    <x v="1"/>
    <x v="0"/>
    <s v="No"/>
    <s v="-"/>
    <s v="No"/>
    <x v="1"/>
    <x v="5"/>
    <x v="11"/>
  </r>
  <r>
    <x v="17"/>
    <s v="Cesar Oliveira"/>
    <s v="Ultimate"/>
    <d v="2024-03-14T00:00:00"/>
    <x v="0"/>
    <x v="0"/>
    <x v="2"/>
    <s v="Yes"/>
    <n v="30"/>
    <s v="Yes"/>
    <x v="0"/>
    <x v="10"/>
    <x v="12"/>
  </r>
  <r>
    <x v="18"/>
    <s v="Débora Machado"/>
    <s v="Standard"/>
    <d v="2024-03-15T00:00:00"/>
    <x v="1"/>
    <x v="2"/>
    <x v="0"/>
    <s v="No"/>
    <s v="-"/>
    <s v="Yes"/>
    <x v="0"/>
    <x v="0"/>
    <x v="13"/>
  </r>
  <r>
    <x v="19"/>
    <s v="Eduardo Vargas"/>
    <s v="Core"/>
    <d v="2024-03-16T00:00:00"/>
    <x v="0"/>
    <x v="1"/>
    <x v="1"/>
    <s v="No"/>
    <s v="-"/>
    <s v="No"/>
    <x v="1"/>
    <x v="1"/>
    <x v="1"/>
  </r>
  <r>
    <x v="20"/>
    <s v="Gabriela Santos"/>
    <s v="Ultimate"/>
    <d v="2024-03-17T00:00:00"/>
    <x v="1"/>
    <x v="0"/>
    <x v="0"/>
    <s v="Yes"/>
    <n v="30"/>
    <s v="Yes"/>
    <x v="0"/>
    <x v="3"/>
    <x v="3"/>
  </r>
  <r>
    <x v="21"/>
    <s v="Henrique Dias"/>
    <s v="Standard"/>
    <d v="2024-03-18T00:00:00"/>
    <x v="0"/>
    <x v="2"/>
    <x v="2"/>
    <s v="No"/>
    <s v="-"/>
    <s v="Yes"/>
    <x v="0"/>
    <x v="6"/>
    <x v="7"/>
  </r>
  <r>
    <x v="22"/>
    <s v="Isabela Moreira"/>
    <s v="Core"/>
    <d v="2024-03-19T00:00:00"/>
    <x v="1"/>
    <x v="1"/>
    <x v="0"/>
    <s v="No"/>
    <s v="-"/>
    <s v="No"/>
    <x v="1"/>
    <x v="4"/>
    <x v="4"/>
  </r>
  <r>
    <x v="23"/>
    <s v="Joaquim Barbosa"/>
    <s v="Ultimate"/>
    <d v="2024-03-20T00:00:00"/>
    <x v="0"/>
    <x v="0"/>
    <x v="1"/>
    <s v="Yes"/>
    <n v="30"/>
    <s v="Yes"/>
    <x v="0"/>
    <x v="7"/>
    <x v="8"/>
  </r>
  <r>
    <x v="24"/>
    <s v="Lara Rocha"/>
    <s v="Standard"/>
    <d v="2024-03-21T00:00:00"/>
    <x v="1"/>
    <x v="2"/>
    <x v="0"/>
    <s v="No"/>
    <s v="-"/>
    <s v="Yes"/>
    <x v="0"/>
    <x v="2"/>
    <x v="2"/>
  </r>
  <r>
    <x v="25"/>
    <s v="Matheus Silva"/>
    <s v="Core"/>
    <d v="2024-03-22T00:00:00"/>
    <x v="0"/>
    <x v="1"/>
    <x v="2"/>
    <s v="No"/>
    <s v="-"/>
    <s v="No"/>
    <x v="1"/>
    <x v="1"/>
    <x v="1"/>
  </r>
  <r>
    <x v="26"/>
    <s v="Nicole Costa"/>
    <s v="Ultimate"/>
    <d v="2024-03-23T00:00:00"/>
    <x v="1"/>
    <x v="0"/>
    <x v="0"/>
    <s v="Yes"/>
    <n v="30"/>
    <s v="Yes"/>
    <x v="0"/>
    <x v="0"/>
    <x v="0"/>
  </r>
  <r>
    <x v="27"/>
    <s v="Otávio Mendonça"/>
    <s v="Standard"/>
    <d v="2024-03-24T00:00:00"/>
    <x v="0"/>
    <x v="2"/>
    <x v="1"/>
    <s v="No"/>
    <s v="-"/>
    <s v="Yes"/>
    <x v="0"/>
    <x v="6"/>
    <x v="7"/>
  </r>
  <r>
    <x v="28"/>
    <s v="Paula Ferreira"/>
    <s v="Core"/>
    <d v="2024-03-25T00:00:00"/>
    <x v="1"/>
    <x v="1"/>
    <x v="0"/>
    <s v="No"/>
    <s v="-"/>
    <s v="No"/>
    <x v="1"/>
    <x v="4"/>
    <x v="4"/>
  </r>
  <r>
    <x v="29"/>
    <s v="Raquel Alves"/>
    <s v="Ultimate"/>
    <d v="2024-03-26T00:00:00"/>
    <x v="0"/>
    <x v="0"/>
    <x v="2"/>
    <s v="Yes"/>
    <n v="30"/>
    <s v="Yes"/>
    <x v="0"/>
    <x v="10"/>
    <x v="12"/>
  </r>
  <r>
    <x v="30"/>
    <s v="Samuel Pires"/>
    <s v="Standard"/>
    <d v="2024-03-27T00:00:00"/>
    <x v="1"/>
    <x v="2"/>
    <x v="0"/>
    <s v="No"/>
    <s v="-"/>
    <s v="Yes"/>
    <x v="0"/>
    <x v="2"/>
    <x v="2"/>
  </r>
  <r>
    <x v="31"/>
    <s v="Tânia Barros"/>
    <s v="Core"/>
    <d v="2024-03-28T00:00:00"/>
    <x v="0"/>
    <x v="1"/>
    <x v="1"/>
    <s v="No"/>
    <s v="-"/>
    <s v="No"/>
    <x v="1"/>
    <x v="1"/>
    <x v="1"/>
  </r>
  <r>
    <x v="32"/>
    <s v="Vinicius Lima"/>
    <s v="Ultimate"/>
    <d v="2024-03-29T00:00:00"/>
    <x v="1"/>
    <x v="0"/>
    <x v="0"/>
    <s v="Yes"/>
    <n v="30"/>
    <s v="Yes"/>
    <x v="0"/>
    <x v="3"/>
    <x v="3"/>
  </r>
  <r>
    <x v="33"/>
    <s v="Yasmin Teixeira"/>
    <s v="Standard"/>
    <d v="2024-03-30T00:00:00"/>
    <x v="0"/>
    <x v="2"/>
    <x v="2"/>
    <s v="No"/>
    <s v="-"/>
    <s v="Yes"/>
    <x v="0"/>
    <x v="6"/>
    <x v="7"/>
  </r>
  <r>
    <x v="34"/>
    <s v="Zé Carlos"/>
    <s v="Core"/>
    <d v="2024-03-31T00:00:00"/>
    <x v="1"/>
    <x v="1"/>
    <x v="0"/>
    <s v="No"/>
    <s v="-"/>
    <s v="No"/>
    <x v="1"/>
    <x v="4"/>
    <x v="4"/>
  </r>
  <r>
    <x v="35"/>
    <s v="Amanda Nogueira"/>
    <s v="Core"/>
    <d v="2024-04-01T00:00:00"/>
    <x v="0"/>
    <x v="1"/>
    <x v="0"/>
    <s v="No"/>
    <s v="-"/>
    <s v="No"/>
    <x v="1"/>
    <x v="1"/>
    <x v="1"/>
  </r>
  <r>
    <x v="36"/>
    <s v="Bruno Cavalheiro"/>
    <s v="Ultimate"/>
    <d v="2024-04-02T00:00:00"/>
    <x v="1"/>
    <x v="0"/>
    <x v="2"/>
    <s v="Yes"/>
    <n v="30"/>
    <s v="Yes"/>
    <x v="0"/>
    <x v="10"/>
    <x v="12"/>
  </r>
  <r>
    <x v="37"/>
    <s v="Carla Dias"/>
    <s v="Standard"/>
    <d v="2024-04-03T00:00:00"/>
    <x v="0"/>
    <x v="2"/>
    <x v="1"/>
    <s v="No"/>
    <s v="-"/>
    <s v="Yes"/>
    <x v="0"/>
    <x v="2"/>
    <x v="2"/>
  </r>
  <r>
    <x v="38"/>
    <s v="Diego Fontes"/>
    <s v="Core"/>
    <d v="2024-04-04T00:00:00"/>
    <x v="1"/>
    <x v="1"/>
    <x v="2"/>
    <s v="No"/>
    <s v="-"/>
    <s v="No"/>
    <x v="1"/>
    <x v="4"/>
    <x v="4"/>
  </r>
  <r>
    <x v="39"/>
    <s v="Eunice Lima"/>
    <s v="Ultimate"/>
    <d v="2024-04-05T00:00:00"/>
    <x v="0"/>
    <x v="0"/>
    <x v="0"/>
    <s v="Yes"/>
    <n v="30"/>
    <s v="Yes"/>
    <x v="0"/>
    <x v="6"/>
    <x v="14"/>
  </r>
  <r>
    <x v="40"/>
    <s v="Fábio Martins"/>
    <s v="Standard"/>
    <d v="2024-04-06T00:00:00"/>
    <x v="1"/>
    <x v="2"/>
    <x v="0"/>
    <s v="No"/>
    <s v="-"/>
    <s v="Yes"/>
    <x v="0"/>
    <x v="0"/>
    <x v="13"/>
  </r>
  <r>
    <x v="41"/>
    <s v="Gisele Araújo"/>
    <s v="Core"/>
    <d v="2024-04-07T00:00:00"/>
    <x v="0"/>
    <x v="1"/>
    <x v="1"/>
    <s v="No"/>
    <s v="-"/>
    <s v="No"/>
    <x v="1"/>
    <x v="1"/>
    <x v="1"/>
  </r>
  <r>
    <x v="42"/>
    <s v="Hélio Castro"/>
    <s v="Ultimate"/>
    <d v="2024-04-08T00:00:00"/>
    <x v="1"/>
    <x v="0"/>
    <x v="2"/>
    <s v="Yes"/>
    <n v="30"/>
    <s v="Yes"/>
    <x v="0"/>
    <x v="7"/>
    <x v="8"/>
  </r>
  <r>
    <x v="43"/>
    <s v="Ingrid Menezes"/>
    <s v="Standard"/>
    <d v="2024-04-09T00:00:00"/>
    <x v="0"/>
    <x v="2"/>
    <x v="2"/>
    <s v="No"/>
    <s v="-"/>
    <s v="Yes"/>
    <x v="0"/>
    <x v="9"/>
    <x v="10"/>
  </r>
  <r>
    <x v="44"/>
    <s v="Jorge Baptista"/>
    <s v="Core"/>
    <d v="2024-04-10T00:00:00"/>
    <x v="1"/>
    <x v="1"/>
    <x v="0"/>
    <s v="No"/>
    <s v="-"/>
    <s v="No"/>
    <x v="1"/>
    <x v="5"/>
    <x v="11"/>
  </r>
  <r>
    <x v="45"/>
    <s v="Kléber Oliveira"/>
    <s v="Ultimate"/>
    <d v="2024-04-11T00:00:00"/>
    <x v="0"/>
    <x v="0"/>
    <x v="1"/>
    <s v="Yes"/>
    <n v="30"/>
    <s v="Yes"/>
    <x v="0"/>
    <x v="0"/>
    <x v="0"/>
  </r>
  <r>
    <x v="46"/>
    <s v="Luciana Freitas"/>
    <s v="Standard"/>
    <d v="2024-04-12T00:00:00"/>
    <x v="1"/>
    <x v="2"/>
    <x v="0"/>
    <s v="No"/>
    <s v="-"/>
    <s v="Yes"/>
    <x v="0"/>
    <x v="2"/>
    <x v="2"/>
  </r>
  <r>
    <x v="47"/>
    <s v="Márcia Eller"/>
    <s v="Core"/>
    <d v="2024-04-13T00:00:00"/>
    <x v="0"/>
    <x v="1"/>
    <x v="2"/>
    <s v="No"/>
    <s v="-"/>
    <s v="No"/>
    <x v="1"/>
    <x v="1"/>
    <x v="1"/>
  </r>
  <r>
    <x v="48"/>
    <s v="Nilo Peçanha"/>
    <s v="Ultimate"/>
    <d v="2024-04-14T00:00:00"/>
    <x v="1"/>
    <x v="0"/>
    <x v="0"/>
    <s v="Yes"/>
    <n v="30"/>
    <s v="Yes"/>
    <x v="0"/>
    <x v="3"/>
    <x v="3"/>
  </r>
  <r>
    <x v="49"/>
    <s v="Oscar Neves"/>
    <s v="Standard"/>
    <d v="2024-04-15T00:00:00"/>
    <x v="0"/>
    <x v="2"/>
    <x v="1"/>
    <s v="No"/>
    <s v="-"/>
    <s v="Yes"/>
    <x v="0"/>
    <x v="6"/>
    <x v="7"/>
  </r>
  <r>
    <x v="50"/>
    <s v="Patrícia Soares"/>
    <s v="Core"/>
    <d v="2024-04-16T00:00:00"/>
    <x v="1"/>
    <x v="1"/>
    <x v="0"/>
    <s v="No"/>
    <s v="-"/>
    <s v="No"/>
    <x v="1"/>
    <x v="4"/>
    <x v="4"/>
  </r>
  <r>
    <x v="51"/>
    <s v="Quirino Gonçalves"/>
    <s v="Ultimate"/>
    <d v="2024-04-17T00:00:00"/>
    <x v="0"/>
    <x v="0"/>
    <x v="2"/>
    <s v="Yes"/>
    <n v="30"/>
    <s v="Yes"/>
    <x v="0"/>
    <x v="10"/>
    <x v="12"/>
  </r>
  <r>
    <x v="52"/>
    <s v="Raul Machado"/>
    <s v="Standard"/>
    <d v="2024-04-18T00:00:00"/>
    <x v="1"/>
    <x v="2"/>
    <x v="0"/>
    <s v="No"/>
    <s v="-"/>
    <s v="Yes"/>
    <x v="0"/>
    <x v="2"/>
    <x v="2"/>
  </r>
  <r>
    <x v="53"/>
    <s v="Sônia Lobo"/>
    <s v="Core"/>
    <d v="2024-04-19T00:00:00"/>
    <x v="0"/>
    <x v="1"/>
    <x v="1"/>
    <s v="No"/>
    <s v="-"/>
    <s v="No"/>
    <x v="1"/>
    <x v="1"/>
    <x v="1"/>
  </r>
  <r>
    <x v="54"/>
    <s v="Tiago Ramos"/>
    <s v="Ultimate"/>
    <d v="2024-04-20T00:00:00"/>
    <x v="1"/>
    <x v="0"/>
    <x v="0"/>
    <s v="Yes"/>
    <n v="30"/>
    <s v="Yes"/>
    <x v="0"/>
    <x v="7"/>
    <x v="8"/>
  </r>
  <r>
    <x v="55"/>
    <s v="Ugo Pires"/>
    <s v="Standard"/>
    <d v="2024-04-21T00:00:00"/>
    <x v="0"/>
    <x v="2"/>
    <x v="2"/>
    <s v="No"/>
    <s v="-"/>
    <s v="Yes"/>
    <x v="0"/>
    <x v="6"/>
    <x v="7"/>
  </r>
  <r>
    <x v="56"/>
    <s v="Valéria Nobre"/>
    <s v="Core"/>
    <d v="2024-04-22T00:00:00"/>
    <x v="1"/>
    <x v="1"/>
    <x v="0"/>
    <s v="No"/>
    <s v="-"/>
    <s v="No"/>
    <x v="1"/>
    <x v="4"/>
    <x v="4"/>
  </r>
  <r>
    <x v="57"/>
    <s v="William Siqueira"/>
    <s v="Ultimate"/>
    <d v="2024-04-23T00:00:00"/>
    <x v="0"/>
    <x v="0"/>
    <x v="1"/>
    <s v="Yes"/>
    <n v="30"/>
    <s v="Yes"/>
    <x v="0"/>
    <x v="3"/>
    <x v="3"/>
  </r>
  <r>
    <x v="58"/>
    <s v="Xuxa Meneghel"/>
    <s v="Standard"/>
    <d v="2024-04-24T00:00:00"/>
    <x v="1"/>
    <x v="2"/>
    <x v="0"/>
    <s v="No"/>
    <s v="-"/>
    <s v="Yes"/>
    <x v="0"/>
    <x v="2"/>
    <x v="2"/>
  </r>
  <r>
    <x v="59"/>
    <s v="Yara Figueiredo"/>
    <s v="Core"/>
    <d v="2024-04-25T00:00:00"/>
    <x v="0"/>
    <x v="1"/>
    <x v="2"/>
    <s v="No"/>
    <s v="-"/>
    <s v="No"/>
    <x v="1"/>
    <x v="1"/>
    <x v="1"/>
  </r>
  <r>
    <x v="60"/>
    <s v="Zacarias Alves"/>
    <s v="Ultimate"/>
    <d v="2024-04-26T00:00:00"/>
    <x v="1"/>
    <x v="0"/>
    <x v="0"/>
    <s v="Yes"/>
    <n v="30"/>
    <s v="Yes"/>
    <x v="0"/>
    <x v="0"/>
    <x v="0"/>
  </r>
  <r>
    <x v="61"/>
    <s v="Amanda Bynes"/>
    <s v="Standard"/>
    <d v="2024-04-27T00:00:00"/>
    <x v="0"/>
    <x v="2"/>
    <x v="1"/>
    <s v="No"/>
    <s v="-"/>
    <s v="Yes"/>
    <x v="0"/>
    <x v="6"/>
    <x v="7"/>
  </r>
  <r>
    <x v="62"/>
    <s v="Bruno Mars"/>
    <s v="Core"/>
    <d v="2024-04-28T00:00:00"/>
    <x v="1"/>
    <x v="1"/>
    <x v="0"/>
    <s v="No"/>
    <s v="-"/>
    <s v="No"/>
    <x v="1"/>
    <x v="4"/>
    <x v="4"/>
  </r>
  <r>
    <x v="63"/>
    <s v="Carla Bruni"/>
    <s v="Ultimate"/>
    <d v="2024-04-29T00:00:00"/>
    <x v="0"/>
    <x v="0"/>
    <x v="2"/>
    <s v="Yes"/>
    <n v="30"/>
    <s v="Yes"/>
    <x v="0"/>
    <x v="7"/>
    <x v="8"/>
  </r>
  <r>
    <x v="64"/>
    <s v="Diego Maradona"/>
    <s v="Standard"/>
    <d v="2024-04-30T00:00:00"/>
    <x v="1"/>
    <x v="2"/>
    <x v="0"/>
    <s v="No"/>
    <s v="-"/>
    <s v="Yes"/>
    <x v="0"/>
    <x v="0"/>
    <x v="13"/>
  </r>
  <r>
    <x v="65"/>
    <s v="Estela Marques"/>
    <s v="Core"/>
    <d v="2024-05-01T00:00:00"/>
    <x v="1"/>
    <x v="1"/>
    <x v="0"/>
    <s v="No"/>
    <s v="-"/>
    <s v="No"/>
    <x v="1"/>
    <x v="1"/>
    <x v="1"/>
  </r>
  <r>
    <x v="66"/>
    <s v="Fábio Nobre"/>
    <s v="Ultimate"/>
    <d v="2024-05-02T00:00:00"/>
    <x v="0"/>
    <x v="0"/>
    <x v="2"/>
    <s v="Yes"/>
    <n v="30"/>
    <s v="Yes"/>
    <x v="0"/>
    <x v="10"/>
    <x v="12"/>
  </r>
  <r>
    <x v="67"/>
    <s v="Gabriel Oliveira"/>
    <s v="Standard"/>
    <d v="2024-05-03T00:00:00"/>
    <x v="1"/>
    <x v="2"/>
    <x v="1"/>
    <s v="No"/>
    <s v="-"/>
    <s v="Yes"/>
    <x v="0"/>
    <x v="2"/>
    <x v="2"/>
  </r>
  <r>
    <x v="68"/>
    <s v="Helena Santos"/>
    <s v="Core"/>
    <d v="2024-05-04T00:00:00"/>
    <x v="0"/>
    <x v="1"/>
    <x v="2"/>
    <s v="No"/>
    <s v="-"/>
    <s v="No"/>
    <x v="1"/>
    <x v="4"/>
    <x v="4"/>
  </r>
  <r>
    <x v="69"/>
    <s v="Ivan Carvalho"/>
    <s v="Ultimate"/>
    <d v="2024-05-05T00:00:00"/>
    <x v="1"/>
    <x v="0"/>
    <x v="0"/>
    <s v="Yes"/>
    <n v="30"/>
    <s v="Yes"/>
    <x v="0"/>
    <x v="6"/>
    <x v="14"/>
  </r>
  <r>
    <x v="70"/>
    <s v="Júlia Ferreira"/>
    <s v="Standard"/>
    <d v="2024-05-06T00:00:00"/>
    <x v="0"/>
    <x v="2"/>
    <x v="0"/>
    <s v="No"/>
    <s v="-"/>
    <s v="Yes"/>
    <x v="0"/>
    <x v="0"/>
    <x v="13"/>
  </r>
  <r>
    <x v="71"/>
    <s v="Karla Alves"/>
    <s v="Core"/>
    <d v="2024-05-07T00:00:00"/>
    <x v="1"/>
    <x v="1"/>
    <x v="1"/>
    <s v="No"/>
    <s v="-"/>
    <s v="No"/>
    <x v="1"/>
    <x v="1"/>
    <x v="1"/>
  </r>
  <r>
    <x v="72"/>
    <s v="Lucas Mendes"/>
    <s v="Ultimate"/>
    <d v="2024-05-08T00:00:00"/>
    <x v="0"/>
    <x v="0"/>
    <x v="2"/>
    <s v="Yes"/>
    <n v="30"/>
    <s v="Yes"/>
    <x v="0"/>
    <x v="7"/>
    <x v="8"/>
  </r>
  <r>
    <x v="73"/>
    <s v="Mônica Gomes"/>
    <s v="Standard"/>
    <d v="2024-05-09T00:00:00"/>
    <x v="1"/>
    <x v="2"/>
    <x v="2"/>
    <s v="No"/>
    <s v="-"/>
    <s v="Yes"/>
    <x v="0"/>
    <x v="9"/>
    <x v="10"/>
  </r>
  <r>
    <x v="74"/>
    <s v="Norberto Queiroz"/>
    <s v="Core"/>
    <d v="2024-05-10T00:00:00"/>
    <x v="0"/>
    <x v="1"/>
    <x v="0"/>
    <s v="No"/>
    <s v="-"/>
    <s v="No"/>
    <x v="1"/>
    <x v="5"/>
    <x v="11"/>
  </r>
  <r>
    <x v="75"/>
    <s v="Otávio Barros"/>
    <s v="Ultimate"/>
    <d v="2024-05-11T00:00:00"/>
    <x v="1"/>
    <x v="0"/>
    <x v="1"/>
    <s v="Yes"/>
    <n v="30"/>
    <s v="Yes"/>
    <x v="0"/>
    <x v="0"/>
    <x v="0"/>
  </r>
  <r>
    <x v="76"/>
    <s v="Paula Vieira"/>
    <s v="Standard"/>
    <d v="2024-05-12T00:00:00"/>
    <x v="0"/>
    <x v="2"/>
    <x v="0"/>
    <s v="No"/>
    <s v="-"/>
    <s v="Yes"/>
    <x v="0"/>
    <x v="2"/>
    <x v="2"/>
  </r>
  <r>
    <x v="77"/>
    <s v="Quentin Ramos"/>
    <s v="Core"/>
    <d v="2024-05-13T00:00:00"/>
    <x v="1"/>
    <x v="1"/>
    <x v="2"/>
    <s v="No"/>
    <s v="-"/>
    <s v="No"/>
    <x v="1"/>
    <x v="1"/>
    <x v="1"/>
  </r>
  <r>
    <x v="78"/>
    <s v="Raquel Novaes"/>
    <s v="Ultimate"/>
    <d v="2024-05-14T00:00:00"/>
    <x v="0"/>
    <x v="0"/>
    <x v="0"/>
    <s v="Yes"/>
    <n v="30"/>
    <s v="Yes"/>
    <x v="0"/>
    <x v="3"/>
    <x v="3"/>
  </r>
  <r>
    <x v="79"/>
    <s v="Samantha Lopes"/>
    <s v="Standard"/>
    <d v="2024-05-15T00:00:00"/>
    <x v="1"/>
    <x v="2"/>
    <x v="1"/>
    <s v="No"/>
    <s v="-"/>
    <s v="Yes"/>
    <x v="0"/>
    <x v="6"/>
    <x v="7"/>
  </r>
  <r>
    <x v="80"/>
    <s v="Tiago Martins"/>
    <s v="Core"/>
    <d v="2024-05-16T00:00:00"/>
    <x v="0"/>
    <x v="1"/>
    <x v="0"/>
    <s v="No"/>
    <s v="-"/>
    <s v="No"/>
    <x v="1"/>
    <x v="4"/>
    <x v="4"/>
  </r>
  <r>
    <x v="81"/>
    <s v="Ulysses Guimarães"/>
    <s v="Ultimate"/>
    <d v="2024-05-17T00:00:00"/>
    <x v="1"/>
    <x v="0"/>
    <x v="2"/>
    <s v="Yes"/>
    <n v="30"/>
    <s v="Yes"/>
    <x v="0"/>
    <x v="10"/>
    <x v="12"/>
  </r>
  <r>
    <x v="82"/>
    <s v="Vanessa Silva"/>
    <s v="Standard"/>
    <d v="2024-05-18T00:00:00"/>
    <x v="0"/>
    <x v="2"/>
    <x v="0"/>
    <s v="No"/>
    <s v="-"/>
    <s v="Yes"/>
    <x v="0"/>
    <x v="2"/>
    <x v="2"/>
  </r>
  <r>
    <x v="83"/>
    <s v="William Carneiro"/>
    <s v="Core"/>
    <d v="2024-05-19T00:00:00"/>
    <x v="1"/>
    <x v="1"/>
    <x v="1"/>
    <s v="No"/>
    <s v="-"/>
    <s v="No"/>
    <x v="1"/>
    <x v="1"/>
    <x v="1"/>
  </r>
  <r>
    <x v="84"/>
    <s v="Ximena Rocha"/>
    <s v="Ultimate"/>
    <d v="2024-05-20T00:00:00"/>
    <x v="0"/>
    <x v="0"/>
    <x v="0"/>
    <s v="Yes"/>
    <n v="30"/>
    <s v="Yes"/>
    <x v="0"/>
    <x v="7"/>
    <x v="8"/>
  </r>
  <r>
    <x v="85"/>
    <s v="Yasmin Figueiredo"/>
    <s v="Standard"/>
    <d v="2024-05-21T00:00:00"/>
    <x v="1"/>
    <x v="2"/>
    <x v="2"/>
    <s v="No"/>
    <s v="-"/>
    <s v="Yes"/>
    <x v="0"/>
    <x v="6"/>
    <x v="7"/>
  </r>
  <r>
    <x v="86"/>
    <s v="Zara Cunha"/>
    <s v="Core"/>
    <d v="2024-05-22T00:00:00"/>
    <x v="0"/>
    <x v="1"/>
    <x v="0"/>
    <s v="No"/>
    <s v="-"/>
    <s v="No"/>
    <x v="1"/>
    <x v="4"/>
    <x v="4"/>
  </r>
  <r>
    <x v="87"/>
    <s v="Alan Teixeira"/>
    <s v="Ultimate"/>
    <d v="2024-05-23T00:00:00"/>
    <x v="1"/>
    <x v="0"/>
    <x v="1"/>
    <s v="Yes"/>
    <n v="30"/>
    <s v="Yes"/>
    <x v="0"/>
    <x v="3"/>
    <x v="3"/>
  </r>
  <r>
    <x v="88"/>
    <s v="Bárbara Oliveira"/>
    <s v="Standard"/>
    <d v="2024-05-24T00:00:00"/>
    <x v="0"/>
    <x v="2"/>
    <x v="0"/>
    <s v="No"/>
    <s v="-"/>
    <s v="Yes"/>
    <x v="0"/>
    <x v="2"/>
    <x v="2"/>
  </r>
  <r>
    <x v="89"/>
    <s v="Carlos Junqueira"/>
    <s v="Core"/>
    <d v="2024-05-25T00:00:00"/>
    <x v="1"/>
    <x v="1"/>
    <x v="2"/>
    <s v="No"/>
    <s v="-"/>
    <s v="No"/>
    <x v="1"/>
    <x v="1"/>
    <x v="1"/>
  </r>
  <r>
    <x v="90"/>
    <s v="Daniela Moura"/>
    <s v="Ultimate"/>
    <d v="2024-05-26T00:00:00"/>
    <x v="0"/>
    <x v="0"/>
    <x v="0"/>
    <s v="Yes"/>
    <n v="30"/>
    <s v="Yes"/>
    <x v="0"/>
    <x v="0"/>
    <x v="0"/>
  </r>
  <r>
    <x v="91"/>
    <s v="Eduardo Lima"/>
    <s v="Standard"/>
    <d v="2024-05-27T00:00:00"/>
    <x v="1"/>
    <x v="2"/>
    <x v="1"/>
    <s v="No"/>
    <s v="-"/>
    <s v="Yes"/>
    <x v="0"/>
    <x v="6"/>
    <x v="7"/>
  </r>
  <r>
    <x v="92"/>
    <s v="Fabiana Araújo"/>
    <s v="Core"/>
    <d v="2024-05-28T00:00:00"/>
    <x v="0"/>
    <x v="1"/>
    <x v="0"/>
    <s v="No"/>
    <s v="-"/>
    <s v="No"/>
    <x v="1"/>
    <x v="4"/>
    <x v="4"/>
  </r>
  <r>
    <x v="93"/>
    <s v="Geraldo Ribeiro"/>
    <s v="Ultimate"/>
    <d v="2024-05-29T00:00:00"/>
    <x v="1"/>
    <x v="0"/>
    <x v="2"/>
    <s v="Yes"/>
    <n v="30"/>
    <s v="Yes"/>
    <x v="0"/>
    <x v="7"/>
    <x v="8"/>
  </r>
  <r>
    <x v="94"/>
    <s v="Héctor Vargas"/>
    <s v="Standard"/>
    <d v="2024-05-30T00:00:00"/>
    <x v="0"/>
    <x v="2"/>
    <x v="2"/>
    <s v="No"/>
    <s v="-"/>
    <s v="Yes"/>
    <x v="0"/>
    <x v="6"/>
    <x v="7"/>
  </r>
  <r>
    <x v="95"/>
    <s v="Isabela Fonseca"/>
    <s v="Core"/>
    <d v="2024-05-31T00:00:00"/>
    <x v="1"/>
    <x v="1"/>
    <x v="1"/>
    <s v="No"/>
    <s v="-"/>
    <s v="No"/>
    <x v="1"/>
    <x v="1"/>
    <x v="1"/>
  </r>
  <r>
    <x v="96"/>
    <s v="João Pedro Almeida"/>
    <s v="Ultimate"/>
    <d v="2024-06-01T00:00:00"/>
    <x v="0"/>
    <x v="0"/>
    <x v="0"/>
    <s v="Yes"/>
    <n v="30"/>
    <s v="Yes"/>
    <x v="0"/>
    <x v="10"/>
    <x v="12"/>
  </r>
  <r>
    <x v="97"/>
    <s v="Klara Costa"/>
    <s v="Standard"/>
    <d v="2024-06-02T00:00:00"/>
    <x v="1"/>
    <x v="2"/>
    <x v="1"/>
    <s v="No"/>
    <s v="-"/>
    <s v="Yes"/>
    <x v="0"/>
    <x v="2"/>
    <x v="2"/>
  </r>
  <r>
    <x v="98"/>
    <s v="Luciana Mendes"/>
    <s v="Core"/>
    <d v="2024-06-03T00:00:00"/>
    <x v="0"/>
    <x v="1"/>
    <x v="2"/>
    <s v="No"/>
    <s v="-"/>
    <s v="No"/>
    <x v="1"/>
    <x v="4"/>
    <x v="4"/>
  </r>
  <r>
    <x v="99"/>
    <s v="Marcelo Gouveia"/>
    <s v="Ultimate"/>
    <d v="2024-06-04T00:00:00"/>
    <x v="1"/>
    <x v="0"/>
    <x v="0"/>
    <s v="Yes"/>
    <n v="30"/>
    <s v="Yes"/>
    <x v="0"/>
    <x v="6"/>
    <x v="14"/>
  </r>
  <r>
    <x v="100"/>
    <s v="Nívea Borges"/>
    <s v="Standard"/>
    <d v="2024-06-05T00:00:00"/>
    <x v="0"/>
    <x v="2"/>
    <x v="0"/>
    <s v="No"/>
    <s v="-"/>
    <s v="Yes"/>
    <x v="0"/>
    <x v="0"/>
    <x v="13"/>
  </r>
  <r>
    <x v="101"/>
    <s v="Oscar Nogueira"/>
    <s v="Core"/>
    <d v="2024-06-06T00:00:00"/>
    <x v="1"/>
    <x v="1"/>
    <x v="1"/>
    <s v="No"/>
    <s v="-"/>
    <s v="No"/>
    <x v="1"/>
    <x v="1"/>
    <x v="1"/>
  </r>
  <r>
    <x v="102"/>
    <s v="Patrícia Alves"/>
    <s v="Ultimate"/>
    <d v="2024-06-07T00:00:00"/>
    <x v="0"/>
    <x v="0"/>
    <x v="2"/>
    <s v="Yes"/>
    <n v="30"/>
    <s v="Yes"/>
    <x v="0"/>
    <x v="7"/>
    <x v="8"/>
  </r>
  <r>
    <x v="103"/>
    <s v="Rafaela Silva"/>
    <s v="Standard"/>
    <d v="2024-06-08T00:00:00"/>
    <x v="1"/>
    <x v="2"/>
    <x v="2"/>
    <s v="No"/>
    <s v="-"/>
    <s v="Yes"/>
    <x v="0"/>
    <x v="9"/>
    <x v="10"/>
  </r>
  <r>
    <x v="104"/>
    <s v="Samantha Moraes"/>
    <s v="Core"/>
    <d v="2024-06-09T00:00:00"/>
    <x v="0"/>
    <x v="1"/>
    <x v="0"/>
    <s v="No"/>
    <s v="-"/>
    <s v="No"/>
    <x v="1"/>
    <x v="5"/>
    <x v="11"/>
  </r>
  <r>
    <x v="105"/>
    <s v="Tatiana Rocha"/>
    <s v="Core"/>
    <d v="2024-06-10T00:00:00"/>
    <x v="0"/>
    <x v="1"/>
    <x v="0"/>
    <s v="No"/>
    <s v="-"/>
    <s v="No"/>
    <x v="1"/>
    <x v="1"/>
    <x v="1"/>
  </r>
  <r>
    <x v="106"/>
    <s v="Ulisses Tavares"/>
    <s v="Ultimate"/>
    <d v="2024-06-11T00:00:00"/>
    <x v="1"/>
    <x v="0"/>
    <x v="2"/>
    <s v="Yes"/>
    <n v="30"/>
    <s v="Yes"/>
    <x v="0"/>
    <x v="10"/>
    <x v="12"/>
  </r>
  <r>
    <x v="107"/>
    <s v="Víctor Lemos"/>
    <s v="Standard"/>
    <d v="2024-06-12T00:00:00"/>
    <x v="0"/>
    <x v="2"/>
    <x v="1"/>
    <s v="No"/>
    <s v="-"/>
    <s v="Yes"/>
    <x v="0"/>
    <x v="2"/>
    <x v="2"/>
  </r>
  <r>
    <x v="108"/>
    <s v="Wilma Barros"/>
    <s v="Core"/>
    <d v="2024-06-13T00:00:00"/>
    <x v="1"/>
    <x v="1"/>
    <x v="2"/>
    <s v="No"/>
    <s v="-"/>
    <s v="No"/>
    <x v="1"/>
    <x v="4"/>
    <x v="4"/>
  </r>
  <r>
    <x v="109"/>
    <s v="Xavier Nascimento"/>
    <s v="Ultimate"/>
    <d v="2024-06-14T00:00:00"/>
    <x v="0"/>
    <x v="0"/>
    <x v="0"/>
    <s v="Yes"/>
    <n v="30"/>
    <s v="Yes"/>
    <x v="0"/>
    <x v="6"/>
    <x v="14"/>
  </r>
  <r>
    <x v="110"/>
    <s v="Yago Pereira"/>
    <s v="Standard"/>
    <d v="2024-06-15T00:00:00"/>
    <x v="1"/>
    <x v="2"/>
    <x v="0"/>
    <s v="No"/>
    <s v="-"/>
    <s v="Yes"/>
    <x v="0"/>
    <x v="0"/>
    <x v="13"/>
  </r>
  <r>
    <x v="111"/>
    <s v="Zilda Ferreira"/>
    <s v="Core"/>
    <d v="2024-06-16T00:00:00"/>
    <x v="0"/>
    <x v="1"/>
    <x v="1"/>
    <s v="No"/>
    <s v="-"/>
    <s v="No"/>
    <x v="1"/>
    <x v="1"/>
    <x v="1"/>
  </r>
  <r>
    <x v="112"/>
    <s v="Amanda Lopes"/>
    <s v="Ultimate"/>
    <d v="2024-06-17T00:00:00"/>
    <x v="1"/>
    <x v="0"/>
    <x v="2"/>
    <s v="Yes"/>
    <n v="30"/>
    <s v="Yes"/>
    <x v="0"/>
    <x v="7"/>
    <x v="8"/>
  </r>
  <r>
    <x v="113"/>
    <s v="Bruno Miranda"/>
    <s v="Standard"/>
    <d v="2024-06-18T00:00:00"/>
    <x v="0"/>
    <x v="2"/>
    <x v="2"/>
    <s v="No"/>
    <s v="-"/>
    <s v="Yes"/>
    <x v="0"/>
    <x v="9"/>
    <x v="10"/>
  </r>
  <r>
    <x v="114"/>
    <s v="Célia Torres"/>
    <s v="Core"/>
    <d v="2024-06-19T00:00:00"/>
    <x v="1"/>
    <x v="1"/>
    <x v="0"/>
    <s v="No"/>
    <s v="-"/>
    <s v="No"/>
    <x v="1"/>
    <x v="5"/>
    <x v="11"/>
  </r>
  <r>
    <x v="115"/>
    <s v="Diogo Souza"/>
    <s v="Ultimate"/>
    <d v="2024-06-20T00:00:00"/>
    <x v="0"/>
    <x v="0"/>
    <x v="1"/>
    <s v="Yes"/>
    <n v="30"/>
    <s v="Yes"/>
    <x v="0"/>
    <x v="0"/>
    <x v="0"/>
  </r>
  <r>
    <x v="116"/>
    <s v="Elisa Castro"/>
    <s v="Standard"/>
    <d v="2024-06-21T00:00:00"/>
    <x v="1"/>
    <x v="2"/>
    <x v="0"/>
    <s v="No"/>
    <s v="-"/>
    <s v="Yes"/>
    <x v="0"/>
    <x v="2"/>
    <x v="2"/>
  </r>
  <r>
    <x v="117"/>
    <s v="Fátima Lima"/>
    <s v="Core"/>
    <d v="2024-06-22T00:00:00"/>
    <x v="0"/>
    <x v="1"/>
    <x v="2"/>
    <s v="No"/>
    <s v="-"/>
    <s v="No"/>
    <x v="1"/>
    <x v="1"/>
    <x v="1"/>
  </r>
  <r>
    <x v="118"/>
    <s v="Geraldo Ribeiro"/>
    <s v="Ultimate"/>
    <d v="2024-06-23T00:00:00"/>
    <x v="1"/>
    <x v="0"/>
    <x v="0"/>
    <s v="Yes"/>
    <n v="30"/>
    <s v="Yes"/>
    <x v="0"/>
    <x v="3"/>
    <x v="3"/>
  </r>
  <r>
    <x v="119"/>
    <s v="Hélio Martins"/>
    <s v="Standard"/>
    <d v="2024-06-24T00:00:00"/>
    <x v="0"/>
    <x v="2"/>
    <x v="1"/>
    <s v="No"/>
    <s v="-"/>
    <s v="Yes"/>
    <x v="0"/>
    <x v="6"/>
    <x v="7"/>
  </r>
  <r>
    <x v="120"/>
    <s v="Íris Santos"/>
    <s v="Core"/>
    <d v="2024-06-25T00:00:00"/>
    <x v="1"/>
    <x v="1"/>
    <x v="0"/>
    <s v="No"/>
    <s v="-"/>
    <s v="No"/>
    <x v="1"/>
    <x v="4"/>
    <x v="4"/>
  </r>
  <r>
    <x v="121"/>
    <s v="João Marcelo"/>
    <s v="Ultimate"/>
    <d v="2024-06-26T00:00:00"/>
    <x v="0"/>
    <x v="0"/>
    <x v="2"/>
    <s v="Yes"/>
    <n v="30"/>
    <s v="Yes"/>
    <x v="0"/>
    <x v="10"/>
    <x v="12"/>
  </r>
  <r>
    <x v="122"/>
    <s v="Larissa Gomes"/>
    <s v="Standard"/>
    <d v="2024-06-27T00:00:00"/>
    <x v="1"/>
    <x v="2"/>
    <x v="0"/>
    <s v="No"/>
    <s v="-"/>
    <s v="Yes"/>
    <x v="0"/>
    <x v="2"/>
    <x v="2"/>
  </r>
  <r>
    <x v="123"/>
    <s v="Márcio Silva"/>
    <s v="Core"/>
    <d v="2024-06-28T00:00:00"/>
    <x v="0"/>
    <x v="1"/>
    <x v="1"/>
    <s v="No"/>
    <s v="-"/>
    <s v="No"/>
    <x v="1"/>
    <x v="1"/>
    <x v="1"/>
  </r>
  <r>
    <x v="124"/>
    <s v="Nadia Costa"/>
    <s v="Ultimate"/>
    <d v="2024-06-29T00:00:00"/>
    <x v="1"/>
    <x v="0"/>
    <x v="0"/>
    <s v="Yes"/>
    <n v="30"/>
    <s v="Yes"/>
    <x v="0"/>
    <x v="7"/>
    <x v="8"/>
  </r>
  <r>
    <x v="125"/>
    <s v="Oscar Almeida"/>
    <s v="Standard"/>
    <d v="2024-06-30T00:00:00"/>
    <x v="0"/>
    <x v="2"/>
    <x v="2"/>
    <s v="No"/>
    <s v="-"/>
    <s v="Yes"/>
    <x v="0"/>
    <x v="6"/>
    <x v="7"/>
  </r>
  <r>
    <x v="126"/>
    <s v="Patricia Soares"/>
    <s v="Core"/>
    <d v="2024-07-01T00:00:00"/>
    <x v="1"/>
    <x v="1"/>
    <x v="0"/>
    <s v="No"/>
    <s v="-"/>
    <s v="No"/>
    <x v="1"/>
    <x v="4"/>
    <x v="4"/>
  </r>
  <r>
    <x v="127"/>
    <s v="Quênia Barros"/>
    <s v="Ultimate"/>
    <d v="2024-07-02T00:00:00"/>
    <x v="0"/>
    <x v="0"/>
    <x v="1"/>
    <s v="Yes"/>
    <n v="30"/>
    <s v="Yes"/>
    <x v="0"/>
    <x v="3"/>
    <x v="3"/>
  </r>
  <r>
    <x v="128"/>
    <s v="Rafael Torres"/>
    <s v="Standard"/>
    <d v="2024-07-03T00:00:00"/>
    <x v="1"/>
    <x v="2"/>
    <x v="0"/>
    <s v="No"/>
    <s v="-"/>
    <s v="Yes"/>
    <x v="0"/>
    <x v="2"/>
    <x v="2"/>
  </r>
  <r>
    <x v="129"/>
    <s v="Silvia Nascimento"/>
    <s v="Core"/>
    <d v="2024-07-04T00:00:00"/>
    <x v="0"/>
    <x v="1"/>
    <x v="2"/>
    <s v="No"/>
    <s v="-"/>
    <s v="No"/>
    <x v="1"/>
    <x v="1"/>
    <x v="1"/>
  </r>
  <r>
    <x v="130"/>
    <s v="Tiago Mendes"/>
    <s v="Ultimate"/>
    <d v="2024-07-05T00:00:00"/>
    <x v="1"/>
    <x v="0"/>
    <x v="0"/>
    <s v="Yes"/>
    <n v="30"/>
    <s v="Yes"/>
    <x v="0"/>
    <x v="6"/>
    <x v="14"/>
  </r>
  <r>
    <x v="131"/>
    <s v="Ursula Silva"/>
    <s v="Standard"/>
    <d v="2024-07-06T00:00:00"/>
    <x v="0"/>
    <x v="2"/>
    <x v="1"/>
    <s v="No"/>
    <s v="-"/>
    <s v="Yes"/>
    <x v="0"/>
    <x v="6"/>
    <x v="7"/>
  </r>
  <r>
    <x v="132"/>
    <s v="Vanessa Moraes"/>
    <s v="Core"/>
    <d v="2024-07-07T00:00:00"/>
    <x v="1"/>
    <x v="1"/>
    <x v="0"/>
    <s v="No"/>
    <s v="-"/>
    <s v="No"/>
    <x v="1"/>
    <x v="4"/>
    <x v="4"/>
  </r>
  <r>
    <x v="133"/>
    <s v="Waldir Junior"/>
    <s v="Ultimate"/>
    <d v="2024-07-08T00:00:00"/>
    <x v="0"/>
    <x v="0"/>
    <x v="2"/>
    <s v="Yes"/>
    <n v="30"/>
    <s v="Yes"/>
    <x v="0"/>
    <x v="10"/>
    <x v="12"/>
  </r>
  <r>
    <x v="134"/>
    <s v="Xavier Lopes"/>
    <s v="Standard"/>
    <d v="2024-07-09T00:00:00"/>
    <x v="1"/>
    <x v="2"/>
    <x v="0"/>
    <s v="No"/>
    <s v="-"/>
    <s v="Yes"/>
    <x v="0"/>
    <x v="2"/>
    <x v="2"/>
  </r>
  <r>
    <x v="135"/>
    <s v="Yolanda Freitas"/>
    <s v="Core"/>
    <d v="2024-07-10T00:00:00"/>
    <x v="0"/>
    <x v="1"/>
    <x v="0"/>
    <s v="No"/>
    <s v="-"/>
    <s v="No"/>
    <x v="1"/>
    <x v="1"/>
    <x v="1"/>
  </r>
  <r>
    <x v="136"/>
    <s v="Zacarias Nunes"/>
    <s v="Ultimate"/>
    <d v="2024-07-11T00:00:00"/>
    <x v="1"/>
    <x v="0"/>
    <x v="2"/>
    <s v="Yes"/>
    <n v="30"/>
    <s v="Yes"/>
    <x v="0"/>
    <x v="10"/>
    <x v="12"/>
  </r>
  <r>
    <x v="137"/>
    <s v="Ana Clara Barreto"/>
    <s v="Standard"/>
    <d v="2024-07-12T00:00:00"/>
    <x v="0"/>
    <x v="2"/>
    <x v="1"/>
    <s v="No"/>
    <s v="-"/>
    <s v="Yes"/>
    <x v="0"/>
    <x v="2"/>
    <x v="2"/>
  </r>
  <r>
    <x v="138"/>
    <s v="Bruno Henrique"/>
    <s v="Core"/>
    <d v="2024-07-13T00:00:00"/>
    <x v="1"/>
    <x v="1"/>
    <x v="2"/>
    <s v="No"/>
    <s v="-"/>
    <s v="No"/>
    <x v="1"/>
    <x v="4"/>
    <x v="4"/>
  </r>
  <r>
    <x v="139"/>
    <s v="Carlos Eduardo"/>
    <s v="Ultimate"/>
    <d v="2024-07-14T00:00:00"/>
    <x v="0"/>
    <x v="0"/>
    <x v="0"/>
    <s v="Yes"/>
    <n v="30"/>
    <s v="Yes"/>
    <x v="0"/>
    <x v="6"/>
    <x v="14"/>
  </r>
  <r>
    <x v="140"/>
    <s v="Débora Lima"/>
    <s v="Standard"/>
    <d v="2024-07-15T00:00:00"/>
    <x v="1"/>
    <x v="2"/>
    <x v="0"/>
    <s v="No"/>
    <s v="-"/>
    <s v="Yes"/>
    <x v="0"/>
    <x v="0"/>
    <x v="13"/>
  </r>
  <r>
    <x v="141"/>
    <s v="Elisa Neves"/>
    <s v="Core"/>
    <d v="2024-07-16T00:00:00"/>
    <x v="0"/>
    <x v="1"/>
    <x v="1"/>
    <s v="No"/>
    <s v="-"/>
    <s v="No"/>
    <x v="1"/>
    <x v="1"/>
    <x v="1"/>
  </r>
  <r>
    <x v="142"/>
    <s v="Fabiano Gomes"/>
    <s v="Ultimate"/>
    <d v="2024-07-17T00:00:00"/>
    <x v="1"/>
    <x v="0"/>
    <x v="2"/>
    <s v="Yes"/>
    <n v="30"/>
    <s v="Yes"/>
    <x v="0"/>
    <x v="7"/>
    <x v="8"/>
  </r>
  <r>
    <x v="143"/>
    <s v="Gisele Oliveira"/>
    <s v="Standard"/>
    <d v="2024-07-18T00:00:00"/>
    <x v="0"/>
    <x v="2"/>
    <x v="2"/>
    <s v="No"/>
    <s v="-"/>
    <s v="Yes"/>
    <x v="0"/>
    <x v="9"/>
    <x v="10"/>
  </r>
  <r>
    <x v="144"/>
    <s v="Héctor Silva"/>
    <s v="Core"/>
    <d v="2024-07-19T00:00:00"/>
    <x v="1"/>
    <x v="1"/>
    <x v="0"/>
    <s v="No"/>
    <s v="-"/>
    <s v="No"/>
    <x v="1"/>
    <x v="5"/>
    <x v="11"/>
  </r>
  <r>
    <x v="145"/>
    <s v="Igor Martins"/>
    <s v="Ultimate"/>
    <d v="2024-07-20T00:00:00"/>
    <x v="0"/>
    <x v="0"/>
    <x v="1"/>
    <s v="Yes"/>
    <n v="30"/>
    <s v="Yes"/>
    <x v="0"/>
    <x v="0"/>
    <x v="0"/>
  </r>
  <r>
    <x v="146"/>
    <s v="Joana Figueiredo"/>
    <s v="Standard"/>
    <d v="2024-07-21T00:00:00"/>
    <x v="1"/>
    <x v="2"/>
    <x v="0"/>
    <s v="No"/>
    <s v="-"/>
    <s v="Yes"/>
    <x v="0"/>
    <x v="2"/>
    <x v="2"/>
  </r>
  <r>
    <x v="147"/>
    <s v="Kleber Machado"/>
    <s v="Core"/>
    <d v="2024-07-22T00:00:00"/>
    <x v="0"/>
    <x v="1"/>
    <x v="2"/>
    <s v="No"/>
    <s v="-"/>
    <s v="No"/>
    <x v="1"/>
    <x v="1"/>
    <x v="1"/>
  </r>
  <r>
    <x v="148"/>
    <s v="Luciana Santos"/>
    <s v="Ultimate"/>
    <d v="2024-07-23T00:00:00"/>
    <x v="1"/>
    <x v="0"/>
    <x v="0"/>
    <s v="Yes"/>
    <n v="30"/>
    <s v="Yes"/>
    <x v="0"/>
    <x v="3"/>
    <x v="3"/>
  </r>
  <r>
    <x v="149"/>
    <s v="Marcos Teixeira"/>
    <s v="Standard"/>
    <d v="2024-07-24T00:00:00"/>
    <x v="0"/>
    <x v="2"/>
    <x v="1"/>
    <s v="No"/>
    <s v="-"/>
    <s v="Yes"/>
    <x v="0"/>
    <x v="6"/>
    <x v="7"/>
  </r>
  <r>
    <x v="150"/>
    <s v="Natalia Costa"/>
    <s v="Core"/>
    <d v="2024-07-25T00:00:00"/>
    <x v="1"/>
    <x v="1"/>
    <x v="0"/>
    <s v="No"/>
    <s v="-"/>
    <s v="No"/>
    <x v="1"/>
    <x v="4"/>
    <x v="4"/>
  </r>
  <r>
    <x v="151"/>
    <s v="Oscar Ribeiro"/>
    <s v="Ultimate"/>
    <d v="2024-07-26T00:00:00"/>
    <x v="0"/>
    <x v="0"/>
    <x v="2"/>
    <s v="Yes"/>
    <n v="30"/>
    <s v="Yes"/>
    <x v="0"/>
    <x v="10"/>
    <x v="12"/>
  </r>
  <r>
    <x v="152"/>
    <s v="Patricia Almeida"/>
    <s v="Standard"/>
    <d v="2024-07-27T00:00:00"/>
    <x v="1"/>
    <x v="2"/>
    <x v="0"/>
    <s v="No"/>
    <s v="-"/>
    <s v="Yes"/>
    <x v="0"/>
    <x v="2"/>
    <x v="2"/>
  </r>
  <r>
    <x v="153"/>
    <s v="Quirino Junior"/>
    <s v="Core"/>
    <d v="2024-07-28T00:00:00"/>
    <x v="0"/>
    <x v="1"/>
    <x v="1"/>
    <s v="No"/>
    <s v="-"/>
    <s v="No"/>
    <x v="1"/>
    <x v="1"/>
    <x v="1"/>
  </r>
  <r>
    <x v="154"/>
    <s v="Renata Machado"/>
    <s v="Ultimate"/>
    <d v="2024-07-29T00:00:00"/>
    <x v="1"/>
    <x v="0"/>
    <x v="0"/>
    <s v="Yes"/>
    <n v="30"/>
    <s v="Yes"/>
    <x v="0"/>
    <x v="7"/>
    <x v="8"/>
  </r>
  <r>
    <x v="155"/>
    <s v="Sônia Alves"/>
    <s v="Standard"/>
    <d v="2024-07-30T00:00:00"/>
    <x v="0"/>
    <x v="2"/>
    <x v="2"/>
    <s v="No"/>
    <s v="-"/>
    <s v="Yes"/>
    <x v="0"/>
    <x v="6"/>
    <x v="7"/>
  </r>
  <r>
    <x v="156"/>
    <s v="Tiago Nunes"/>
    <s v="Core"/>
    <d v="2024-07-31T00:00:00"/>
    <x v="1"/>
    <x v="1"/>
    <x v="0"/>
    <s v="No"/>
    <s v="-"/>
    <s v="No"/>
    <x v="1"/>
    <x v="4"/>
    <x v="4"/>
  </r>
  <r>
    <x v="157"/>
    <s v="Ulysses Pereira"/>
    <s v="Ultimate"/>
    <d v="2024-08-01T00:00:00"/>
    <x v="0"/>
    <x v="0"/>
    <x v="1"/>
    <s v="Yes"/>
    <n v="30"/>
    <s v="Yes"/>
    <x v="0"/>
    <x v="3"/>
    <x v="3"/>
  </r>
  <r>
    <x v="158"/>
    <s v="Vanessa Lima"/>
    <s v="Standard"/>
    <d v="2024-08-02T00:00:00"/>
    <x v="1"/>
    <x v="2"/>
    <x v="0"/>
    <s v="No"/>
    <s v="-"/>
    <s v="Yes"/>
    <x v="0"/>
    <x v="2"/>
    <x v="2"/>
  </r>
  <r>
    <x v="159"/>
    <s v="Wagner Santos"/>
    <s v="Core"/>
    <d v="2024-08-03T00:00:00"/>
    <x v="0"/>
    <x v="1"/>
    <x v="2"/>
    <s v="No"/>
    <s v="-"/>
    <s v="No"/>
    <x v="1"/>
    <x v="1"/>
    <x v="1"/>
  </r>
  <r>
    <x v="160"/>
    <s v="Xuxa Meneghel"/>
    <s v="Ultimate"/>
    <d v="2024-08-04T00:00:00"/>
    <x v="1"/>
    <x v="0"/>
    <x v="0"/>
    <s v="Yes"/>
    <n v="30"/>
    <s v="Yes"/>
    <x v="0"/>
    <x v="6"/>
    <x v="14"/>
  </r>
  <r>
    <x v="161"/>
    <s v="Yasmin Silva"/>
    <s v="Standard"/>
    <d v="2024-08-05T00:00:00"/>
    <x v="0"/>
    <x v="2"/>
    <x v="1"/>
    <s v="No"/>
    <s v="-"/>
    <s v="Yes"/>
    <x v="0"/>
    <x v="6"/>
    <x v="7"/>
  </r>
  <r>
    <x v="162"/>
    <s v="Zacarias de Souza"/>
    <s v="Core"/>
    <d v="2024-08-06T00:00:00"/>
    <x v="1"/>
    <x v="1"/>
    <x v="0"/>
    <s v="No"/>
    <s v="-"/>
    <s v="No"/>
    <x v="1"/>
    <x v="4"/>
    <x v="4"/>
  </r>
  <r>
    <x v="163"/>
    <s v="André Lima"/>
    <s v="Ultimate"/>
    <d v="2024-08-07T00:00:00"/>
    <x v="0"/>
    <x v="0"/>
    <x v="2"/>
    <s v="Yes"/>
    <n v="30"/>
    <s v="Yes"/>
    <x v="0"/>
    <x v="10"/>
    <x v="12"/>
  </r>
  <r>
    <x v="164"/>
    <s v="Bianca Freitas"/>
    <s v="Standard"/>
    <d v="2024-08-08T00:00:00"/>
    <x v="1"/>
    <x v="2"/>
    <x v="0"/>
    <s v="No"/>
    <s v="-"/>
    <s v="Yes"/>
    <x v="0"/>
    <x v="2"/>
    <x v="2"/>
  </r>
  <r>
    <x v="165"/>
    <s v="Caio Mendes"/>
    <s v="Core"/>
    <d v="2024-08-09T00:00:00"/>
    <x v="0"/>
    <x v="1"/>
    <x v="1"/>
    <s v="No"/>
    <s v="-"/>
    <s v="No"/>
    <x v="1"/>
    <x v="1"/>
    <x v="1"/>
  </r>
  <r>
    <x v="166"/>
    <s v="Daniela Moura"/>
    <s v="Ultimate"/>
    <d v="2024-08-10T00:00:00"/>
    <x v="1"/>
    <x v="0"/>
    <x v="0"/>
    <s v="Yes"/>
    <n v="30"/>
    <s v="Yes"/>
    <x v="0"/>
    <x v="7"/>
    <x v="8"/>
  </r>
  <r>
    <x v="167"/>
    <s v="Eduardo Costa"/>
    <s v="Standard"/>
    <d v="2024-08-11T00:00:00"/>
    <x v="0"/>
    <x v="2"/>
    <x v="2"/>
    <s v="No"/>
    <s v="-"/>
    <s v="Yes"/>
    <x v="0"/>
    <x v="6"/>
    <x v="7"/>
  </r>
  <r>
    <x v="168"/>
    <s v="Fernanda Gomes"/>
    <s v="Core"/>
    <d v="2024-08-12T00:00:00"/>
    <x v="1"/>
    <x v="1"/>
    <x v="0"/>
    <s v="No"/>
    <s v="-"/>
    <s v="No"/>
    <x v="1"/>
    <x v="4"/>
    <x v="4"/>
  </r>
  <r>
    <x v="169"/>
    <s v="Guilherme Souza"/>
    <s v="Ultimate"/>
    <d v="2024-08-13T00:00:00"/>
    <x v="0"/>
    <x v="0"/>
    <x v="1"/>
    <s v="Yes"/>
    <n v="30"/>
    <s v="Yes"/>
    <x v="0"/>
    <x v="0"/>
    <x v="0"/>
  </r>
  <r>
    <x v="170"/>
    <s v="Helena Ribeiro"/>
    <s v="Standard"/>
    <d v="2024-08-14T00:00:00"/>
    <x v="1"/>
    <x v="2"/>
    <x v="0"/>
    <s v="No"/>
    <s v="-"/>
    <s v="Yes"/>
    <x v="0"/>
    <x v="2"/>
    <x v="2"/>
  </r>
  <r>
    <x v="171"/>
    <s v="Igor Santos"/>
    <s v="Core"/>
    <d v="2024-08-15T00:00:00"/>
    <x v="0"/>
    <x v="1"/>
    <x v="2"/>
    <s v="No"/>
    <s v="-"/>
    <s v="No"/>
    <x v="1"/>
    <x v="1"/>
    <x v="1"/>
  </r>
  <r>
    <x v="172"/>
    <s v="João Carvalho"/>
    <s v="Ultimate"/>
    <d v="2024-08-16T00:00:00"/>
    <x v="1"/>
    <x v="0"/>
    <x v="0"/>
    <s v="Yes"/>
    <n v="30"/>
    <s v="Yes"/>
    <x v="0"/>
    <x v="3"/>
    <x v="3"/>
  </r>
  <r>
    <x v="173"/>
    <s v="Klara Fagundes"/>
    <s v="Standard"/>
    <d v="2024-08-17T00:00:00"/>
    <x v="0"/>
    <x v="2"/>
    <x v="1"/>
    <s v="No"/>
    <s v="-"/>
    <s v="Yes"/>
    <x v="0"/>
    <x v="6"/>
    <x v="7"/>
  </r>
  <r>
    <x v="174"/>
    <s v="Lúcia Mendonça"/>
    <s v="Core"/>
    <d v="2024-08-18T00:00:00"/>
    <x v="1"/>
    <x v="1"/>
    <x v="0"/>
    <s v="No"/>
    <s v="-"/>
    <s v="No"/>
    <x v="1"/>
    <x v="4"/>
    <x v="4"/>
  </r>
  <r>
    <x v="175"/>
    <s v="Marcelo Novaes"/>
    <s v="Core"/>
    <d v="2024-08-19T00:00:00"/>
    <x v="0"/>
    <x v="1"/>
    <x v="0"/>
    <s v="No"/>
    <s v="-"/>
    <s v="No"/>
    <x v="1"/>
    <x v="1"/>
    <x v="1"/>
  </r>
  <r>
    <x v="176"/>
    <s v="Nina Pacheco"/>
    <s v="Ultimate"/>
    <d v="2024-08-20T00:00:00"/>
    <x v="1"/>
    <x v="0"/>
    <x v="2"/>
    <s v="Yes"/>
    <n v="30"/>
    <s v="Yes"/>
    <x v="0"/>
    <x v="10"/>
    <x v="12"/>
  </r>
  <r>
    <x v="177"/>
    <s v="Olívia Rios"/>
    <s v="Standard"/>
    <d v="2024-08-21T00:00:00"/>
    <x v="0"/>
    <x v="2"/>
    <x v="1"/>
    <s v="No"/>
    <s v="-"/>
    <s v="Yes"/>
    <x v="0"/>
    <x v="2"/>
    <x v="2"/>
  </r>
  <r>
    <x v="178"/>
    <s v="Paulo Quintana"/>
    <s v="Core"/>
    <d v="2024-08-22T00:00:00"/>
    <x v="1"/>
    <x v="1"/>
    <x v="2"/>
    <s v="No"/>
    <s v="-"/>
    <s v="No"/>
    <x v="1"/>
    <x v="4"/>
    <x v="4"/>
  </r>
  <r>
    <x v="179"/>
    <s v="Raquel Domingos"/>
    <s v="Ultimate"/>
    <d v="2024-08-23T00:00:00"/>
    <x v="0"/>
    <x v="0"/>
    <x v="0"/>
    <s v="Yes"/>
    <n v="30"/>
    <s v="Yes"/>
    <x v="0"/>
    <x v="6"/>
    <x v="14"/>
  </r>
  <r>
    <x v="180"/>
    <s v="Samuel Viana"/>
    <s v="Standard"/>
    <d v="2024-08-24T00:00:00"/>
    <x v="1"/>
    <x v="2"/>
    <x v="0"/>
    <s v="No"/>
    <s v="-"/>
    <s v="Yes"/>
    <x v="0"/>
    <x v="0"/>
    <x v="13"/>
  </r>
  <r>
    <x v="181"/>
    <s v="Tatiane Rocha"/>
    <s v="Core"/>
    <d v="2024-08-25T00:00:00"/>
    <x v="0"/>
    <x v="1"/>
    <x v="1"/>
    <s v="No"/>
    <s v="-"/>
    <s v="No"/>
    <x v="1"/>
    <x v="1"/>
    <x v="1"/>
  </r>
  <r>
    <x v="182"/>
    <s v="Ulysses Farias"/>
    <s v="Ultimate"/>
    <d v="2024-08-26T00:00:00"/>
    <x v="1"/>
    <x v="0"/>
    <x v="2"/>
    <s v="Yes"/>
    <n v="30"/>
    <s v="Yes"/>
    <x v="0"/>
    <x v="7"/>
    <x v="8"/>
  </r>
  <r>
    <x v="183"/>
    <s v="Vanessa Moreira"/>
    <s v="Standard"/>
    <d v="2024-08-27T00:00:00"/>
    <x v="0"/>
    <x v="2"/>
    <x v="2"/>
    <s v="No"/>
    <s v="-"/>
    <s v="Yes"/>
    <x v="0"/>
    <x v="9"/>
    <x v="10"/>
  </r>
  <r>
    <x v="184"/>
    <s v="William Carvalho"/>
    <s v="Core"/>
    <d v="2024-08-28T00:00:00"/>
    <x v="1"/>
    <x v="1"/>
    <x v="0"/>
    <s v="No"/>
    <s v="-"/>
    <s v="No"/>
    <x v="1"/>
    <x v="5"/>
    <x v="11"/>
  </r>
  <r>
    <x v="185"/>
    <s v="Ximena Barros"/>
    <s v="Ultimate"/>
    <d v="2024-08-29T00:00:00"/>
    <x v="0"/>
    <x v="0"/>
    <x v="1"/>
    <s v="Yes"/>
    <n v="30"/>
    <s v="Yes"/>
    <x v="0"/>
    <x v="0"/>
    <x v="0"/>
  </r>
  <r>
    <x v="186"/>
    <s v="Yara Machado"/>
    <s v="Standard"/>
    <d v="2024-08-30T00:00:00"/>
    <x v="1"/>
    <x v="2"/>
    <x v="0"/>
    <s v="No"/>
    <s v="-"/>
    <s v="Yes"/>
    <x v="0"/>
    <x v="2"/>
    <x v="2"/>
  </r>
  <r>
    <x v="187"/>
    <s v="Zacarias Costa"/>
    <s v="Core"/>
    <d v="2024-08-31T00:00:00"/>
    <x v="0"/>
    <x v="1"/>
    <x v="2"/>
    <s v="No"/>
    <s v="-"/>
    <s v="No"/>
    <x v="1"/>
    <x v="1"/>
    <x v="1"/>
  </r>
  <r>
    <x v="188"/>
    <s v="André Lopes"/>
    <s v="Ultimate"/>
    <d v="2024-09-01T00:00:00"/>
    <x v="1"/>
    <x v="0"/>
    <x v="0"/>
    <s v="Yes"/>
    <n v="30"/>
    <s v="Yes"/>
    <x v="0"/>
    <x v="3"/>
    <x v="3"/>
  </r>
  <r>
    <x v="189"/>
    <s v="Beatriz Souza"/>
    <s v="Standard"/>
    <d v="2024-09-02T00:00:00"/>
    <x v="0"/>
    <x v="2"/>
    <x v="1"/>
    <s v="No"/>
    <s v="-"/>
    <s v="Yes"/>
    <x v="0"/>
    <x v="6"/>
    <x v="7"/>
  </r>
  <r>
    <x v="190"/>
    <s v="Caio Pereira"/>
    <s v="Core"/>
    <d v="2024-09-03T00:00:00"/>
    <x v="1"/>
    <x v="1"/>
    <x v="0"/>
    <s v="No"/>
    <s v="-"/>
    <s v="No"/>
    <x v="1"/>
    <x v="4"/>
    <x v="4"/>
  </r>
  <r>
    <x v="191"/>
    <s v="Daniela Araújo"/>
    <s v="Ultimate"/>
    <d v="2024-09-04T00:00:00"/>
    <x v="0"/>
    <x v="0"/>
    <x v="2"/>
    <s v="Yes"/>
    <n v="30"/>
    <s v="Yes"/>
    <x v="0"/>
    <x v="10"/>
    <x v="12"/>
  </r>
  <r>
    <x v="192"/>
    <s v="Eduardo Santos"/>
    <s v="Standard"/>
    <d v="2024-09-05T00:00:00"/>
    <x v="1"/>
    <x v="2"/>
    <x v="0"/>
    <s v="No"/>
    <s v="-"/>
    <s v="Yes"/>
    <x v="0"/>
    <x v="2"/>
    <x v="2"/>
  </r>
  <r>
    <x v="193"/>
    <s v="Fernanda Lima"/>
    <s v="Core"/>
    <d v="2024-09-06T00:00:00"/>
    <x v="0"/>
    <x v="1"/>
    <x v="1"/>
    <s v="No"/>
    <s v="-"/>
    <s v="No"/>
    <x v="1"/>
    <x v="1"/>
    <x v="1"/>
  </r>
  <r>
    <x v="194"/>
    <s v="Gabriel Teixeira"/>
    <s v="Ultimate"/>
    <d v="2024-09-07T00:00:00"/>
    <x v="1"/>
    <x v="0"/>
    <x v="0"/>
    <s v="Yes"/>
    <n v="30"/>
    <s v="Yes"/>
    <x v="0"/>
    <x v="7"/>
    <x v="8"/>
  </r>
  <r>
    <x v="195"/>
    <s v="Helena Ribeiro"/>
    <s v="Standard"/>
    <d v="2024-09-08T00:00:00"/>
    <x v="0"/>
    <x v="2"/>
    <x v="2"/>
    <s v="No"/>
    <s v="-"/>
    <s v="Yes"/>
    <x v="0"/>
    <x v="6"/>
    <x v="7"/>
  </r>
  <r>
    <x v="196"/>
    <s v="Igor Mendes"/>
    <s v="Core"/>
    <d v="2024-09-09T00:00:00"/>
    <x v="1"/>
    <x v="1"/>
    <x v="0"/>
    <s v="No"/>
    <s v="-"/>
    <s v="No"/>
    <x v="1"/>
    <x v="4"/>
    <x v="4"/>
  </r>
  <r>
    <x v="197"/>
    <s v="Joana Silveira"/>
    <s v="Ultimate"/>
    <d v="2024-09-10T00:00:00"/>
    <x v="0"/>
    <x v="0"/>
    <x v="1"/>
    <s v="Yes"/>
    <n v="30"/>
    <s v="Yes"/>
    <x v="0"/>
    <x v="3"/>
    <x v="3"/>
  </r>
  <r>
    <x v="198"/>
    <s v="Lucas Martins"/>
    <s v="Standard"/>
    <d v="2024-09-11T00:00:00"/>
    <x v="1"/>
    <x v="2"/>
    <x v="0"/>
    <s v="No"/>
    <s v="-"/>
    <s v="Yes"/>
    <x v="0"/>
    <x v="2"/>
    <x v="2"/>
  </r>
  <r>
    <x v="199"/>
    <s v="Marcela Gouveia"/>
    <s v="Core"/>
    <d v="2024-09-12T00:00:00"/>
    <x v="0"/>
    <x v="1"/>
    <x v="2"/>
    <s v="No"/>
    <s v="-"/>
    <s v="No"/>
    <x v="1"/>
    <x v="1"/>
    <x v="1"/>
  </r>
  <r>
    <x v="200"/>
    <s v="Nicolas Borges"/>
    <s v="Ultimate"/>
    <d v="2024-09-13T00:00:00"/>
    <x v="1"/>
    <x v="0"/>
    <x v="0"/>
    <s v="Yes"/>
    <n v="30"/>
    <s v="Yes"/>
    <x v="0"/>
    <x v="6"/>
    <x v="14"/>
  </r>
  <r>
    <x v="201"/>
    <s v="Olivia Freitas"/>
    <s v="Standard"/>
    <d v="2024-09-14T00:00:00"/>
    <x v="0"/>
    <x v="2"/>
    <x v="1"/>
    <s v="No"/>
    <s v="-"/>
    <s v="Yes"/>
    <x v="0"/>
    <x v="6"/>
    <x v="7"/>
  </r>
  <r>
    <x v="202"/>
    <s v="Paulo Nogueira"/>
    <s v="Core"/>
    <d v="2024-09-15T00:00:00"/>
    <x v="1"/>
    <x v="1"/>
    <x v="0"/>
    <s v="No"/>
    <s v="-"/>
    <s v="No"/>
    <x v="1"/>
    <x v="4"/>
    <x v="4"/>
  </r>
  <r>
    <x v="203"/>
    <s v="Raquel Andrade"/>
    <s v="Ultimate"/>
    <d v="2024-09-16T00:00:00"/>
    <x v="0"/>
    <x v="0"/>
    <x v="2"/>
    <s v="Yes"/>
    <n v="30"/>
    <s v="Yes"/>
    <x v="0"/>
    <x v="10"/>
    <x v="12"/>
  </r>
  <r>
    <x v="204"/>
    <s v="Sônia Carvalho"/>
    <s v="Standard"/>
    <d v="2024-09-17T00:00:00"/>
    <x v="1"/>
    <x v="2"/>
    <x v="0"/>
    <s v="No"/>
    <s v="-"/>
    <s v="Yes"/>
    <x v="0"/>
    <x v="2"/>
    <x v="2"/>
  </r>
  <r>
    <x v="205"/>
    <s v="Tiago Rodrigues"/>
    <s v="Core"/>
    <d v="2024-09-18T00:00:00"/>
    <x v="0"/>
    <x v="1"/>
    <x v="0"/>
    <s v="No"/>
    <s v="-"/>
    <s v="No"/>
    <x v="1"/>
    <x v="1"/>
    <x v="1"/>
  </r>
  <r>
    <x v="206"/>
    <s v="Ursula Monteiro"/>
    <s v="Ultimate"/>
    <d v="2024-09-19T00:00:00"/>
    <x v="1"/>
    <x v="0"/>
    <x v="2"/>
    <s v="Yes"/>
    <n v="30"/>
    <s v="Yes"/>
    <x v="0"/>
    <x v="10"/>
    <x v="12"/>
  </r>
  <r>
    <x v="207"/>
    <s v="Vanessa Pereira"/>
    <s v="Standard"/>
    <d v="2024-09-20T00:00:00"/>
    <x v="0"/>
    <x v="2"/>
    <x v="1"/>
    <s v="No"/>
    <s v="-"/>
    <s v="Yes"/>
    <x v="0"/>
    <x v="2"/>
    <x v="2"/>
  </r>
  <r>
    <x v="208"/>
    <s v="Walter Silva"/>
    <s v="Core"/>
    <d v="2024-09-21T00:00:00"/>
    <x v="1"/>
    <x v="1"/>
    <x v="2"/>
    <s v="No"/>
    <s v="-"/>
    <s v="No"/>
    <x v="1"/>
    <x v="4"/>
    <x v="4"/>
  </r>
  <r>
    <x v="209"/>
    <s v="Xavier Almeida"/>
    <s v="Ultimate"/>
    <d v="2024-09-22T00:00:00"/>
    <x v="0"/>
    <x v="0"/>
    <x v="0"/>
    <s v="Yes"/>
    <n v="30"/>
    <s v="Yes"/>
    <x v="0"/>
    <x v="6"/>
    <x v="14"/>
  </r>
  <r>
    <x v="210"/>
    <s v="Yasmine Correia"/>
    <s v="Standard"/>
    <d v="2024-09-23T00:00:00"/>
    <x v="1"/>
    <x v="2"/>
    <x v="0"/>
    <s v="No"/>
    <s v="-"/>
    <s v="Yes"/>
    <x v="0"/>
    <x v="0"/>
    <x v="13"/>
  </r>
  <r>
    <x v="211"/>
    <s v="Zacarias Almeida"/>
    <s v="Core"/>
    <d v="2024-09-24T00:00:00"/>
    <x v="0"/>
    <x v="1"/>
    <x v="1"/>
    <s v="No"/>
    <s v="-"/>
    <s v="No"/>
    <x v="1"/>
    <x v="1"/>
    <x v="1"/>
  </r>
  <r>
    <x v="212"/>
    <s v="Amanda Costa"/>
    <s v="Ultimate"/>
    <d v="2024-09-25T00:00:00"/>
    <x v="1"/>
    <x v="0"/>
    <x v="2"/>
    <s v="Yes"/>
    <n v="30"/>
    <s v="Yes"/>
    <x v="0"/>
    <x v="7"/>
    <x v="8"/>
  </r>
  <r>
    <x v="213"/>
    <s v="Bruno Ferreira"/>
    <s v="Standard"/>
    <d v="2024-09-26T00:00:00"/>
    <x v="0"/>
    <x v="2"/>
    <x v="2"/>
    <s v="No"/>
    <s v="-"/>
    <s v="Yes"/>
    <x v="0"/>
    <x v="9"/>
    <x v="10"/>
  </r>
  <r>
    <x v="214"/>
    <s v="Carla Dias"/>
    <s v="Core"/>
    <d v="2024-09-27T00:00:00"/>
    <x v="1"/>
    <x v="1"/>
    <x v="0"/>
    <s v="No"/>
    <s v="-"/>
    <s v="No"/>
    <x v="1"/>
    <x v="5"/>
    <x v="11"/>
  </r>
  <r>
    <x v="215"/>
    <s v="Diogo Martins"/>
    <s v="Ultimate"/>
    <d v="2024-09-28T00:00:00"/>
    <x v="0"/>
    <x v="0"/>
    <x v="1"/>
    <s v="Yes"/>
    <n v="30"/>
    <s v="Yes"/>
    <x v="0"/>
    <x v="0"/>
    <x v="0"/>
  </r>
  <r>
    <x v="216"/>
    <s v="Elisa Campos"/>
    <s v="Standard"/>
    <d v="2024-09-29T00:00:00"/>
    <x v="1"/>
    <x v="2"/>
    <x v="0"/>
    <s v="No"/>
    <s v="-"/>
    <s v="Yes"/>
    <x v="0"/>
    <x v="2"/>
    <x v="2"/>
  </r>
  <r>
    <x v="217"/>
    <s v="Fabiana Lima"/>
    <s v="Core"/>
    <d v="2024-09-30T00:00:00"/>
    <x v="0"/>
    <x v="1"/>
    <x v="2"/>
    <s v="No"/>
    <s v="-"/>
    <s v="No"/>
    <x v="1"/>
    <x v="1"/>
    <x v="1"/>
  </r>
  <r>
    <x v="218"/>
    <s v="Gabriel Santos"/>
    <s v="Ultimate"/>
    <d v="2024-10-01T00:00:00"/>
    <x v="1"/>
    <x v="0"/>
    <x v="0"/>
    <s v="Yes"/>
    <n v="30"/>
    <s v="Yes"/>
    <x v="0"/>
    <x v="3"/>
    <x v="3"/>
  </r>
  <r>
    <x v="219"/>
    <s v="Helena Ferreira"/>
    <s v="Standard"/>
    <d v="2024-10-02T00:00:00"/>
    <x v="0"/>
    <x v="2"/>
    <x v="1"/>
    <s v="No"/>
    <s v="-"/>
    <s v="Yes"/>
    <x v="0"/>
    <x v="6"/>
    <x v="7"/>
  </r>
  <r>
    <x v="220"/>
    <s v="Ígor Nunes"/>
    <s v="Core"/>
    <d v="2024-10-03T00:00:00"/>
    <x v="1"/>
    <x v="1"/>
    <x v="0"/>
    <s v="No"/>
    <s v="-"/>
    <s v="No"/>
    <x v="1"/>
    <x v="4"/>
    <x v="4"/>
  </r>
  <r>
    <x v="221"/>
    <s v="Joana Silveira"/>
    <s v="Ultimate"/>
    <d v="2024-10-04T00:00:00"/>
    <x v="0"/>
    <x v="0"/>
    <x v="2"/>
    <s v="Yes"/>
    <n v="30"/>
    <s v="Yes"/>
    <x v="0"/>
    <x v="10"/>
    <x v="12"/>
  </r>
  <r>
    <x v="222"/>
    <s v="Kléber Oliveira"/>
    <s v="Standard"/>
    <d v="2024-10-05T00:00:00"/>
    <x v="1"/>
    <x v="2"/>
    <x v="0"/>
    <s v="No"/>
    <s v="-"/>
    <s v="Yes"/>
    <x v="0"/>
    <x v="2"/>
    <x v="2"/>
  </r>
  <r>
    <x v="223"/>
    <s v="Luciana Morais"/>
    <s v="Core"/>
    <d v="2024-10-06T00:00:00"/>
    <x v="0"/>
    <x v="1"/>
    <x v="1"/>
    <s v="No"/>
    <s v="-"/>
    <s v="No"/>
    <x v="1"/>
    <x v="1"/>
    <x v="1"/>
  </r>
  <r>
    <x v="224"/>
    <s v="Marcos Vinícius"/>
    <s v="Ultimate"/>
    <d v="2024-10-07T00:00:00"/>
    <x v="1"/>
    <x v="0"/>
    <x v="0"/>
    <s v="Yes"/>
    <n v="30"/>
    <s v="Yes"/>
    <x v="0"/>
    <x v="7"/>
    <x v="8"/>
  </r>
  <r>
    <x v="225"/>
    <s v="Natália Barros"/>
    <s v="Standard"/>
    <d v="2024-10-08T00:00:00"/>
    <x v="0"/>
    <x v="2"/>
    <x v="2"/>
    <s v="No"/>
    <s v="-"/>
    <s v="Yes"/>
    <x v="0"/>
    <x v="6"/>
    <x v="7"/>
  </r>
  <r>
    <x v="226"/>
    <s v="Oscar Sampaio"/>
    <s v="Core"/>
    <d v="2024-10-09T00:00:00"/>
    <x v="1"/>
    <x v="1"/>
    <x v="0"/>
    <s v="No"/>
    <s v="-"/>
    <s v="No"/>
    <x v="1"/>
    <x v="4"/>
    <x v="4"/>
  </r>
  <r>
    <x v="227"/>
    <s v="Patrícia Leite"/>
    <s v="Ultimate"/>
    <d v="2024-10-10T00:00:00"/>
    <x v="0"/>
    <x v="0"/>
    <x v="1"/>
    <s v="Yes"/>
    <n v="30"/>
    <s v="Yes"/>
    <x v="0"/>
    <x v="3"/>
    <x v="3"/>
  </r>
  <r>
    <x v="228"/>
    <s v="Quênia Rocha"/>
    <s v="Standard"/>
    <d v="2024-10-11T00:00:00"/>
    <x v="1"/>
    <x v="2"/>
    <x v="0"/>
    <s v="No"/>
    <s v="-"/>
    <s v="Yes"/>
    <x v="0"/>
    <x v="2"/>
    <x v="2"/>
  </r>
  <r>
    <x v="229"/>
    <s v="Rafael Torres"/>
    <s v="Core"/>
    <d v="2024-10-12T00:00:00"/>
    <x v="0"/>
    <x v="1"/>
    <x v="2"/>
    <s v="No"/>
    <s v="-"/>
    <s v="No"/>
    <x v="1"/>
    <x v="1"/>
    <x v="1"/>
  </r>
  <r>
    <x v="230"/>
    <s v="Sandra Gouveia"/>
    <s v="Ultimate"/>
    <d v="2024-10-13T00:00:00"/>
    <x v="1"/>
    <x v="0"/>
    <x v="0"/>
    <s v="Yes"/>
    <n v="30"/>
    <s v="Yes"/>
    <x v="0"/>
    <x v="6"/>
    <x v="14"/>
  </r>
  <r>
    <x v="231"/>
    <s v="Tiago Lacerda"/>
    <s v="Standard"/>
    <d v="2024-10-14T00:00:00"/>
    <x v="0"/>
    <x v="2"/>
    <x v="1"/>
    <s v="No"/>
    <s v="-"/>
    <s v="Yes"/>
    <x v="0"/>
    <x v="6"/>
    <x v="7"/>
  </r>
  <r>
    <x v="232"/>
    <s v="Ursula Fonseca"/>
    <s v="Core"/>
    <d v="2024-10-15T00:00:00"/>
    <x v="1"/>
    <x v="1"/>
    <x v="0"/>
    <s v="No"/>
    <s v="-"/>
    <s v="No"/>
    <x v="1"/>
    <x v="4"/>
    <x v="4"/>
  </r>
  <r>
    <x v="233"/>
    <s v="Vanessa Andrade"/>
    <s v="Ultimate"/>
    <d v="2024-10-16T00:00:00"/>
    <x v="0"/>
    <x v="0"/>
    <x v="2"/>
    <s v="Yes"/>
    <n v="30"/>
    <s v="Yes"/>
    <x v="0"/>
    <x v="10"/>
    <x v="12"/>
  </r>
  <r>
    <x v="234"/>
    <s v="William Castro"/>
    <s v="Standard"/>
    <d v="2024-10-17T00:00:00"/>
    <x v="1"/>
    <x v="2"/>
    <x v="0"/>
    <s v="No"/>
    <s v="-"/>
    <s v="Yes"/>
    <x v="0"/>
    <x v="2"/>
    <x v="2"/>
  </r>
  <r>
    <x v="235"/>
    <s v="Xavier Monteiro"/>
    <s v="Core"/>
    <d v="2024-10-18T00:00:00"/>
    <x v="0"/>
    <x v="1"/>
    <x v="1"/>
    <s v="No"/>
    <s v="-"/>
    <s v="No"/>
    <x v="1"/>
    <x v="1"/>
    <x v="1"/>
  </r>
  <r>
    <x v="236"/>
    <s v="Yasmin Figueira"/>
    <s v="Ultimate"/>
    <d v="2024-10-19T00:00:00"/>
    <x v="1"/>
    <x v="0"/>
    <x v="0"/>
    <s v="Yes"/>
    <n v="30"/>
    <s v="Yes"/>
    <x v="0"/>
    <x v="6"/>
    <x v="14"/>
  </r>
  <r>
    <x v="237"/>
    <s v="Zacarias Mendonça"/>
    <s v="Standard"/>
    <d v="2024-10-20T00:00:00"/>
    <x v="0"/>
    <x v="2"/>
    <x v="2"/>
    <s v="No"/>
    <s v="-"/>
    <s v="Yes"/>
    <x v="0"/>
    <x v="9"/>
    <x v="10"/>
  </r>
  <r>
    <x v="238"/>
    <s v="Amanda Menezes"/>
    <s v="Core"/>
    <d v="2024-10-21T00:00:00"/>
    <x v="1"/>
    <x v="1"/>
    <x v="0"/>
    <s v="No"/>
    <s v="-"/>
    <s v="No"/>
    <x v="1"/>
    <x v="5"/>
    <x v="11"/>
  </r>
  <r>
    <x v="239"/>
    <s v="Bruno Santos"/>
    <s v="Ultimate"/>
    <d v="2024-10-22T00:00:00"/>
    <x v="0"/>
    <x v="0"/>
    <x v="1"/>
    <s v="Yes"/>
    <n v="30"/>
    <s v="Yes"/>
    <x v="0"/>
    <x v="0"/>
    <x v="0"/>
  </r>
  <r>
    <x v="240"/>
    <s v="Carla Ferreira"/>
    <s v="Standard"/>
    <d v="2024-10-23T00:00:00"/>
    <x v="1"/>
    <x v="2"/>
    <x v="0"/>
    <s v="No"/>
    <s v="-"/>
    <s v="Yes"/>
    <x v="0"/>
    <x v="2"/>
    <x v="2"/>
  </r>
  <r>
    <x v="241"/>
    <s v="Diogo Alves"/>
    <s v="Core"/>
    <d v="2024-10-24T00:00:00"/>
    <x v="0"/>
    <x v="1"/>
    <x v="2"/>
    <s v="No"/>
    <s v="-"/>
    <s v="No"/>
    <x v="1"/>
    <x v="1"/>
    <x v="1"/>
  </r>
  <r>
    <x v="242"/>
    <s v="Elisa Neves"/>
    <s v="Ultimate"/>
    <d v="2024-10-25T00:00:00"/>
    <x v="1"/>
    <x v="0"/>
    <x v="0"/>
    <s v="Yes"/>
    <n v="30"/>
    <s v="Yes"/>
    <x v="0"/>
    <x v="3"/>
    <x v="3"/>
  </r>
  <r>
    <x v="243"/>
    <s v="Fabiano Pires"/>
    <s v="Standard"/>
    <d v="2024-10-26T00:00:00"/>
    <x v="0"/>
    <x v="2"/>
    <x v="1"/>
    <s v="No"/>
    <s v="-"/>
    <s v="Yes"/>
    <x v="0"/>
    <x v="6"/>
    <x v="7"/>
  </r>
  <r>
    <x v="244"/>
    <s v="Giovana Ribeiro"/>
    <s v="Core"/>
    <d v="2024-10-27T00:00:00"/>
    <x v="1"/>
    <x v="1"/>
    <x v="0"/>
    <s v="No"/>
    <s v="-"/>
    <s v="No"/>
    <x v="1"/>
    <x v="4"/>
    <x v="4"/>
  </r>
  <r>
    <x v="245"/>
    <s v="Hélio Costa"/>
    <s v="Ultimate"/>
    <d v="2024-10-28T00:00:00"/>
    <x v="0"/>
    <x v="0"/>
    <x v="2"/>
    <s v="Yes"/>
    <n v="30"/>
    <s v="Yes"/>
    <x v="0"/>
    <x v="10"/>
    <x v="12"/>
  </r>
  <r>
    <x v="246"/>
    <s v="Íris Loureiro"/>
    <s v="Standard"/>
    <d v="2024-10-29T00:00:00"/>
    <x v="1"/>
    <x v="2"/>
    <x v="0"/>
    <s v="No"/>
    <s v="-"/>
    <s v="Yes"/>
    <x v="0"/>
    <x v="2"/>
    <x v="2"/>
  </r>
  <r>
    <x v="247"/>
    <s v="João Pereira"/>
    <s v="Core"/>
    <d v="2024-10-30T00:00:00"/>
    <x v="0"/>
    <x v="1"/>
    <x v="1"/>
    <s v="No"/>
    <s v="-"/>
    <s v="No"/>
    <x v="1"/>
    <x v="1"/>
    <x v="1"/>
  </r>
  <r>
    <x v="248"/>
    <s v="Klara Silva"/>
    <s v="Ultimate"/>
    <d v="2024-10-31T00:00:00"/>
    <x v="1"/>
    <x v="0"/>
    <x v="0"/>
    <s v="Yes"/>
    <n v="30"/>
    <s v="Yes"/>
    <x v="0"/>
    <x v="7"/>
    <x v="8"/>
  </r>
  <r>
    <x v="249"/>
    <s v="Luciana Barros"/>
    <s v="Standard"/>
    <d v="2024-11-01T00:00:00"/>
    <x v="0"/>
    <x v="2"/>
    <x v="2"/>
    <s v="No"/>
    <s v="-"/>
    <s v="Yes"/>
    <x v="0"/>
    <x v="6"/>
    <x v="7"/>
  </r>
  <r>
    <x v="250"/>
    <s v="Marcos Gomes"/>
    <s v="Core"/>
    <d v="2024-11-02T00:00:00"/>
    <x v="1"/>
    <x v="1"/>
    <x v="0"/>
    <s v="No"/>
    <s v="-"/>
    <s v="No"/>
    <x v="1"/>
    <x v="4"/>
    <x v="4"/>
  </r>
  <r>
    <x v="251"/>
    <s v="Natália Soares"/>
    <s v="Ultimate"/>
    <d v="2024-11-03T00:00:00"/>
    <x v="0"/>
    <x v="0"/>
    <x v="1"/>
    <s v="Yes"/>
    <n v="30"/>
    <s v="Yes"/>
    <x v="0"/>
    <x v="3"/>
    <x v="3"/>
  </r>
  <r>
    <x v="252"/>
    <s v="Oscar Machado"/>
    <s v="Standard"/>
    <d v="2024-11-04T00:00:00"/>
    <x v="1"/>
    <x v="2"/>
    <x v="0"/>
    <s v="No"/>
    <s v="-"/>
    <s v="Yes"/>
    <x v="0"/>
    <x v="2"/>
    <x v="2"/>
  </r>
  <r>
    <x v="253"/>
    <s v="Patrícia Lima"/>
    <s v="Core"/>
    <d v="2024-11-05T00:00:00"/>
    <x v="0"/>
    <x v="1"/>
    <x v="2"/>
    <s v="No"/>
    <s v="-"/>
    <s v="No"/>
    <x v="1"/>
    <x v="1"/>
    <x v="1"/>
  </r>
  <r>
    <x v="254"/>
    <s v="Quirino Neto"/>
    <s v="Ultimate"/>
    <d v="2024-11-06T00:00:00"/>
    <x v="1"/>
    <x v="0"/>
    <x v="0"/>
    <s v="Yes"/>
    <n v="30"/>
    <s v="Yes"/>
    <x v="0"/>
    <x v="6"/>
    <x v="14"/>
  </r>
  <r>
    <x v="255"/>
    <s v="Rafaela Souza"/>
    <s v="Core"/>
    <d v="2024-11-07T00:00:00"/>
    <x v="0"/>
    <x v="1"/>
    <x v="0"/>
    <s v="No"/>
    <s v="-"/>
    <s v="No"/>
    <x v="1"/>
    <x v="1"/>
    <x v="1"/>
  </r>
  <r>
    <x v="256"/>
    <s v="Sandro Almeida"/>
    <s v="Ultimate"/>
    <d v="2024-11-08T00:00:00"/>
    <x v="1"/>
    <x v="0"/>
    <x v="2"/>
    <s v="Yes"/>
    <n v="30"/>
    <s v="Yes"/>
    <x v="0"/>
    <x v="10"/>
    <x v="12"/>
  </r>
  <r>
    <x v="257"/>
    <s v="Tânia Ribeiro"/>
    <s v="Standard"/>
    <d v="2024-11-09T00:00:00"/>
    <x v="0"/>
    <x v="2"/>
    <x v="1"/>
    <s v="No"/>
    <s v="-"/>
    <s v="Yes"/>
    <x v="0"/>
    <x v="2"/>
    <x v="2"/>
  </r>
  <r>
    <x v="258"/>
    <s v="Ugo Dias"/>
    <s v="Core"/>
    <d v="2024-11-10T00:00:00"/>
    <x v="1"/>
    <x v="1"/>
    <x v="2"/>
    <s v="No"/>
    <s v="-"/>
    <s v="No"/>
    <x v="1"/>
    <x v="4"/>
    <x v="4"/>
  </r>
  <r>
    <x v="259"/>
    <s v="Valéria Lima"/>
    <s v="Ultimate"/>
    <d v="2024-11-11T00:00:00"/>
    <x v="0"/>
    <x v="0"/>
    <x v="0"/>
    <s v="Yes"/>
    <n v="30"/>
    <s v="Yes"/>
    <x v="0"/>
    <x v="6"/>
    <x v="14"/>
  </r>
  <r>
    <x v="260"/>
    <s v="William Fernandes"/>
    <s v="Standard"/>
    <d v="2024-11-12T00:00:00"/>
    <x v="1"/>
    <x v="2"/>
    <x v="0"/>
    <s v="No"/>
    <s v="-"/>
    <s v="Yes"/>
    <x v="0"/>
    <x v="0"/>
    <x v="13"/>
  </r>
  <r>
    <x v="261"/>
    <s v="Xuxa Mendes"/>
    <s v="Core"/>
    <d v="2024-11-13T00:00:00"/>
    <x v="0"/>
    <x v="1"/>
    <x v="1"/>
    <s v="No"/>
    <s v="-"/>
    <s v="No"/>
    <x v="1"/>
    <x v="1"/>
    <x v="1"/>
  </r>
  <r>
    <x v="262"/>
    <s v="Ygor Farias"/>
    <s v="Ultimate"/>
    <d v="2024-11-14T00:00:00"/>
    <x v="1"/>
    <x v="0"/>
    <x v="2"/>
    <s v="Yes"/>
    <n v="30"/>
    <s v="Yes"/>
    <x v="0"/>
    <x v="7"/>
    <x v="8"/>
  </r>
  <r>
    <x v="263"/>
    <s v="Zilda Barros"/>
    <s v="Standard"/>
    <d v="2024-11-15T00:00:00"/>
    <x v="0"/>
    <x v="2"/>
    <x v="2"/>
    <s v="No"/>
    <s v="-"/>
    <s v="Yes"/>
    <x v="0"/>
    <x v="9"/>
    <x v="10"/>
  </r>
  <r>
    <x v="264"/>
    <s v="Amanda Santos"/>
    <s v="Core"/>
    <d v="2024-11-16T00:00:00"/>
    <x v="1"/>
    <x v="1"/>
    <x v="0"/>
    <s v="No"/>
    <s v="-"/>
    <s v="No"/>
    <x v="1"/>
    <x v="5"/>
    <x v="11"/>
  </r>
  <r>
    <x v="265"/>
    <s v="Bruno Costa"/>
    <s v="Ultimate"/>
    <d v="2024-11-17T00:00:00"/>
    <x v="0"/>
    <x v="0"/>
    <x v="1"/>
    <s v="Yes"/>
    <n v="30"/>
    <s v="Yes"/>
    <x v="0"/>
    <x v="0"/>
    <x v="0"/>
  </r>
  <r>
    <x v="266"/>
    <s v="Carla Rodrigues"/>
    <s v="Standard"/>
    <d v="2024-11-18T00:00:00"/>
    <x v="1"/>
    <x v="2"/>
    <x v="0"/>
    <s v="No"/>
    <s v="-"/>
    <s v="Yes"/>
    <x v="0"/>
    <x v="2"/>
    <x v="2"/>
  </r>
  <r>
    <x v="267"/>
    <s v="Diogo Pereira"/>
    <s v="Core"/>
    <d v="2024-11-19T00:00:00"/>
    <x v="0"/>
    <x v="1"/>
    <x v="2"/>
    <s v="No"/>
    <s v="-"/>
    <s v="No"/>
    <x v="1"/>
    <x v="1"/>
    <x v="1"/>
  </r>
  <r>
    <x v="268"/>
    <s v="Elisa Correia"/>
    <s v="Ultimate"/>
    <d v="2024-11-20T00:00:00"/>
    <x v="1"/>
    <x v="0"/>
    <x v="0"/>
    <s v="Yes"/>
    <n v="30"/>
    <s v="Yes"/>
    <x v="0"/>
    <x v="3"/>
    <x v="3"/>
  </r>
  <r>
    <x v="269"/>
    <s v="Fábio Lourenço"/>
    <s v="Standard"/>
    <d v="2024-11-21T00:00:00"/>
    <x v="0"/>
    <x v="2"/>
    <x v="1"/>
    <s v="No"/>
    <s v="-"/>
    <s v="Yes"/>
    <x v="0"/>
    <x v="6"/>
    <x v="7"/>
  </r>
  <r>
    <x v="270"/>
    <s v="Gabriela Neves"/>
    <s v="Core"/>
    <d v="2024-11-22T00:00:00"/>
    <x v="1"/>
    <x v="1"/>
    <x v="0"/>
    <s v="No"/>
    <s v="-"/>
    <s v="No"/>
    <x v="1"/>
    <x v="4"/>
    <x v="4"/>
  </r>
  <r>
    <x v="271"/>
    <s v="Henrique Gonçalves"/>
    <s v="Ultimate"/>
    <d v="2024-11-23T00:00:00"/>
    <x v="0"/>
    <x v="0"/>
    <x v="2"/>
    <s v="Yes"/>
    <n v="30"/>
    <s v="Yes"/>
    <x v="0"/>
    <x v="10"/>
    <x v="12"/>
  </r>
  <r>
    <x v="272"/>
    <s v="Íris Santos"/>
    <s v="Standard"/>
    <d v="2024-11-24T00:00:00"/>
    <x v="1"/>
    <x v="2"/>
    <x v="0"/>
    <s v="No"/>
    <s v="-"/>
    <s v="Yes"/>
    <x v="0"/>
    <x v="2"/>
    <x v="2"/>
  </r>
  <r>
    <x v="273"/>
    <s v="João Marcelo Alves"/>
    <s v="Core"/>
    <d v="2024-11-25T00:00:00"/>
    <x v="0"/>
    <x v="1"/>
    <x v="1"/>
    <s v="No"/>
    <s v="-"/>
    <s v="No"/>
    <x v="1"/>
    <x v="1"/>
    <x v="1"/>
  </r>
  <r>
    <x v="274"/>
    <s v="Klara Fonseca"/>
    <s v="Ultimate"/>
    <d v="2024-11-26T00:00:00"/>
    <x v="1"/>
    <x v="0"/>
    <x v="0"/>
    <s v="Yes"/>
    <n v="30"/>
    <s v="Yes"/>
    <x v="0"/>
    <x v="7"/>
    <x v="8"/>
  </r>
  <r>
    <x v="275"/>
    <s v="Lucas Mendonça"/>
    <s v="Standard"/>
    <d v="2024-11-27T00:00:00"/>
    <x v="0"/>
    <x v="2"/>
    <x v="2"/>
    <s v="No"/>
    <s v="-"/>
    <s v="Yes"/>
    <x v="0"/>
    <x v="6"/>
    <x v="7"/>
  </r>
  <r>
    <x v="276"/>
    <s v="Marcela Torres"/>
    <s v="Core"/>
    <d v="2024-11-28T00:00:00"/>
    <x v="1"/>
    <x v="1"/>
    <x v="0"/>
    <s v="No"/>
    <s v="-"/>
    <s v="No"/>
    <x v="1"/>
    <x v="4"/>
    <x v="4"/>
  </r>
  <r>
    <x v="277"/>
    <s v="Natália Castro"/>
    <s v="Ultimate"/>
    <d v="2024-11-29T00:00:00"/>
    <x v="0"/>
    <x v="0"/>
    <x v="1"/>
    <s v="Yes"/>
    <n v="30"/>
    <s v="Yes"/>
    <x v="0"/>
    <x v="3"/>
    <x v="3"/>
  </r>
  <r>
    <x v="278"/>
    <s v="Oscar Martins"/>
    <s v="Standard"/>
    <d v="2024-11-30T00:00:00"/>
    <x v="1"/>
    <x v="2"/>
    <x v="0"/>
    <s v="No"/>
    <s v="-"/>
    <s v="Yes"/>
    <x v="0"/>
    <x v="2"/>
    <x v="2"/>
  </r>
  <r>
    <x v="279"/>
    <s v="Patrícia Oliveira"/>
    <s v="Core"/>
    <d v="2024-12-01T00:00:00"/>
    <x v="0"/>
    <x v="1"/>
    <x v="2"/>
    <s v="No"/>
    <s v="-"/>
    <s v="No"/>
    <x v="1"/>
    <x v="1"/>
    <x v="1"/>
  </r>
  <r>
    <x v="280"/>
    <s v="Quentin Nogueira"/>
    <s v="Ultimate"/>
    <d v="2024-12-02T00:00:00"/>
    <x v="1"/>
    <x v="0"/>
    <x v="0"/>
    <s v="Yes"/>
    <n v="30"/>
    <s v="Yes"/>
    <x v="0"/>
    <x v="6"/>
    <x v="14"/>
  </r>
  <r>
    <x v="281"/>
    <s v="Raquel Silva"/>
    <s v="Standard"/>
    <d v="2024-12-03T00:00:00"/>
    <x v="0"/>
    <x v="2"/>
    <x v="1"/>
    <s v="No"/>
    <s v="-"/>
    <s v="Yes"/>
    <x v="0"/>
    <x v="6"/>
    <x v="7"/>
  </r>
  <r>
    <x v="282"/>
    <s v="Sandro Gomes"/>
    <s v="Core"/>
    <d v="2024-12-04T00:00:00"/>
    <x v="1"/>
    <x v="1"/>
    <x v="0"/>
    <s v="No"/>
    <s v="-"/>
    <s v="No"/>
    <x v="1"/>
    <x v="4"/>
    <x v="4"/>
  </r>
  <r>
    <x v="283"/>
    <s v="Tânia Machado"/>
    <s v="Ultimate"/>
    <d v="2024-12-05T00:00:00"/>
    <x v="0"/>
    <x v="0"/>
    <x v="2"/>
    <s v="Yes"/>
    <n v="30"/>
    <s v="Yes"/>
    <x v="0"/>
    <x v="10"/>
    <x v="12"/>
  </r>
  <r>
    <x v="284"/>
    <s v="Ursula Silva"/>
    <s v="Standard"/>
    <d v="2024-12-06T00:00:00"/>
    <x v="1"/>
    <x v="2"/>
    <x v="0"/>
    <s v="No"/>
    <s v="-"/>
    <s v="Yes"/>
    <x v="0"/>
    <x v="2"/>
    <x v="2"/>
  </r>
  <r>
    <x v="285"/>
    <s v="Vanessa Moraes"/>
    <s v="Core"/>
    <d v="2024-12-07T00:00:00"/>
    <x v="0"/>
    <x v="1"/>
    <x v="1"/>
    <s v="No"/>
    <s v="-"/>
    <s v="No"/>
    <x v="1"/>
    <x v="1"/>
    <x v="1"/>
  </r>
  <r>
    <x v="286"/>
    <s v="William Carvalho"/>
    <s v="Ultimate"/>
    <d v="2024-12-08T00:00:00"/>
    <x v="1"/>
    <x v="0"/>
    <x v="0"/>
    <s v="Yes"/>
    <n v="30"/>
    <s v="Yes"/>
    <x v="0"/>
    <x v="7"/>
    <x v="8"/>
  </r>
  <r>
    <x v="287"/>
    <s v="Xavier Reis"/>
    <s v="Standard"/>
    <d v="2024-12-09T00:00:00"/>
    <x v="0"/>
    <x v="2"/>
    <x v="2"/>
    <s v="No"/>
    <s v="-"/>
    <s v="Yes"/>
    <x v="0"/>
    <x v="9"/>
    <x v="10"/>
  </r>
  <r>
    <x v="288"/>
    <s v="Yasmin Rocha"/>
    <s v="Core"/>
    <d v="2024-12-10T00:00:00"/>
    <x v="1"/>
    <x v="1"/>
    <x v="0"/>
    <s v="No"/>
    <s v="-"/>
    <s v="No"/>
    <x v="1"/>
    <x v="5"/>
    <x v="11"/>
  </r>
  <r>
    <x v="289"/>
    <s v="Zacarias Duarte"/>
    <s v="Ultimate"/>
    <d v="2024-12-11T00:00:00"/>
    <x v="0"/>
    <x v="0"/>
    <x v="1"/>
    <s v="Yes"/>
    <n v="30"/>
    <s v="Yes"/>
    <x v="0"/>
    <x v="0"/>
    <x v="0"/>
  </r>
  <r>
    <x v="290"/>
    <s v="Amanda Freitas"/>
    <s v="Standard"/>
    <d v="2024-12-12T00:00:00"/>
    <x v="1"/>
    <x v="2"/>
    <x v="0"/>
    <s v="No"/>
    <s v="-"/>
    <s v="Yes"/>
    <x v="0"/>
    <x v="2"/>
    <x v="2"/>
  </r>
  <r>
    <x v="291"/>
    <s v="Bruno Almeida"/>
    <s v="Core"/>
    <d v="2024-12-13T00:00:00"/>
    <x v="0"/>
    <x v="1"/>
    <x v="2"/>
    <s v="No"/>
    <s v="-"/>
    <s v="No"/>
    <x v="1"/>
    <x v="1"/>
    <x v="1"/>
  </r>
  <r>
    <x v="292"/>
    <s v="Carla Siqueira"/>
    <s v="Ultimate"/>
    <d v="2024-12-14T00:00:00"/>
    <x v="1"/>
    <x v="0"/>
    <x v="0"/>
    <s v="Yes"/>
    <n v="30"/>
    <s v="Yes"/>
    <x v="0"/>
    <x v="3"/>
    <x v="3"/>
  </r>
  <r>
    <x v="293"/>
    <s v="Diogo Ramos"/>
    <s v="Standard"/>
    <d v="2024-12-15T00:00:00"/>
    <x v="0"/>
    <x v="2"/>
    <x v="1"/>
    <s v="No"/>
    <s v="-"/>
    <s v="Yes"/>
    <x v="0"/>
    <x v="6"/>
    <x v="7"/>
  </r>
  <r>
    <x v="294"/>
    <s v="Elisa Magalhães"/>
    <s v="Core"/>
    <d v="2024-12-16T00:00:00"/>
    <x v="1"/>
    <x v="1"/>
    <x v="0"/>
    <s v="No"/>
    <s v="-"/>
    <s v="No"/>
    <x v="1"/>
    <x v="4"/>
    <x v="4"/>
  </r>
  <r>
    <x v="295"/>
    <m/>
    <m/>
    <m/>
    <x v="2"/>
    <x v="3"/>
    <x v="3"/>
    <m/>
    <m/>
    <m/>
    <x v="2"/>
    <x v="11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assinatura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110:C115" firstHeaderRow="1" firstDataRow="1" firstDataCol="1" rowPageCount="1" colPageCount="1"/>
  <pivotFields count="13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/>
    <pivotField showAll="0"/>
    <pivotField showAll="0"/>
    <pivotField multipleItemSelectionAllowed="1" showAll="0">
      <items count="4">
        <item x="1"/>
        <item x="0"/>
        <item h="1" x="2"/>
        <item t="default"/>
      </items>
    </pivotField>
    <pivotField axis="axisRow" dataField="1"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5" baseItem="0"/>
  </dataFields>
  <formats count="1">
    <format dxfId="2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 minecraft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104:C107" firstHeaderRow="1" firstDataRow="1" firstDataCol="1" rowPageCount="1" colPageCount="1"/>
  <pivotFields count="13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4" baseItem="0"/>
  </dataFields>
  <formats count="1">
    <format dxfId="2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 ea play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97:C100" firstHeaderRow="1" firstDataRow="1" firstDataCol="1" rowPageCount="1" colPageCount="1"/>
  <pivotFields count="13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1"/>
  </dataFields>
  <formats count="1">
    <format dxfId="2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5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90:C93" firstHeaderRow="1" firstDataRow="1" firstDataCol="1"/>
  <pivotFields count="13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4" baseItem="0"/>
  </dataFields>
  <formats count="1">
    <format dxfId="232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4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71:C8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dataField="1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édia de Coupon Value" fld="11" subtotal="average" baseField="11" baseItem="0"/>
  </dataFields>
  <formats count="1">
    <format dxfId="2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otal de desconto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53:C66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dataField="1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6" hier="-1"/>
  </pageFields>
  <dataFields count="1">
    <dataField name="Soma de Coupon Value" fld="11" baseField="11" baseItem="0"/>
  </dataFields>
  <formats count="1">
    <format dxfId="2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otal de vendas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28:C45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axis="axisRow"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6" hier="-1"/>
  </pageFields>
  <dataFields count="1">
    <dataField name="Soma de Total Value" fld="12" baseField="12" baseItem="0"/>
  </dataFields>
  <formats count="1">
    <format dxfId="2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icket medio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6:C2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axis="axisRow" dataField="1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Média de Total Value" fld="12" subtotal="average" baseField="12" baseItem="0"/>
  </dataFields>
  <formats count="1">
    <format dxfId="2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5"/>
    <pivotTable tabId="3" name="Total ea play"/>
    <pivotTable tabId="3" name="Total minecraft"/>
    <pivotTable tabId="3" name="Total assinatura"/>
    <pivotTable tabId="3" name="ticket medio"/>
    <pivotTable tabId="3" name="Total de desconto"/>
    <pivotTable tabId="3" name="Total de vendas"/>
    <pivotTable tabId="3" name="Tabela dinâmica4"/>
  </pivotTables>
  <data>
    <tabular pivotCacheId="1765956582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2" cache="SegmentaçãodeDados_Subscription_Type" caption="Subscription Type" style="SlicerStyleLight3" rowHeight="234950"/>
</slicers>
</file>

<file path=xl/tables/table1.xml><?xml version="1.0" encoding="utf-8"?>
<table xmlns="http://schemas.openxmlformats.org/spreadsheetml/2006/main" id="1" name="Tabela1" displayName="Tabela1" ref="A1:M296" totalsRowShown="0" dataDxfId="454">
  <autoFilter ref="A1:M296"/>
  <tableColumns count="13">
    <tableColumn id="1" name="Subscriber ID" dataDxfId="453"/>
    <tableColumn id="2" name="Name" dataDxfId="452"/>
    <tableColumn id="3" name="Plan" dataDxfId="451"/>
    <tableColumn id="4" name="Start Date" dataDxfId="450"/>
    <tableColumn id="5" name="Auto Renewal" dataDxfId="449"/>
    <tableColumn id="6" name="Subscription Price" dataDxfId="448" dataCellStyle="Moeda"/>
    <tableColumn id="7" name="Subscription Type" dataDxfId="447"/>
    <tableColumn id="8" name="EA Play Season Pass" dataDxfId="446"/>
    <tableColumn id="13" name="EA Play Season Pass_x000a_Price" dataDxfId="445" dataCellStyle="Moeda"/>
    <tableColumn id="9" name="Minecraft Season Pass" dataDxfId="444"/>
    <tableColumn id="10" name="Minecraft Season Pass Price" dataDxfId="443" dataCellStyle="Moeda"/>
    <tableColumn id="11" name="Coupon Value" dataDxfId="442" dataCellStyle="Moeda"/>
    <tableColumn id="12" name="Total Value" dataDxfId="44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F39" sqref="F39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D1" zoomScale="90" zoomScaleNormal="90" workbookViewId="0">
      <selection activeCell="K1" sqref="K1:K104857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D115"/>
  <sheetViews>
    <sheetView showGridLines="0" topLeftCell="A49" workbookViewId="0">
      <selection activeCell="A66" sqref="A66:XFD66"/>
    </sheetView>
  </sheetViews>
  <sheetFormatPr defaultRowHeight="13.8"/>
  <cols>
    <col min="2" max="2" width="17.69921875" customWidth="1"/>
    <col min="3" max="3" width="21.796875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4" spans="2:4">
      <c r="B4" t="s">
        <v>313</v>
      </c>
      <c r="C4" t="s">
        <v>314</v>
      </c>
    </row>
    <row r="6" spans="2:4">
      <c r="B6" s="12" t="s">
        <v>315</v>
      </c>
      <c r="C6" t="s">
        <v>319</v>
      </c>
    </row>
    <row r="7" spans="2:4">
      <c r="B7" s="13">
        <v>3</v>
      </c>
      <c r="C7" s="14">
        <v>3</v>
      </c>
    </row>
    <row r="8" spans="2:4">
      <c r="B8" s="13">
        <v>4</v>
      </c>
      <c r="C8" s="14">
        <v>4</v>
      </c>
    </row>
    <row r="9" spans="2:4">
      <c r="B9" s="13">
        <v>5</v>
      </c>
      <c r="C9" s="14">
        <v>5</v>
      </c>
    </row>
    <row r="10" spans="2:4">
      <c r="B10" s="13">
        <v>15</v>
      </c>
      <c r="C10" s="14">
        <v>15</v>
      </c>
    </row>
    <row r="11" spans="2:4">
      <c r="B11" s="13">
        <v>18</v>
      </c>
      <c r="C11" s="14">
        <v>18</v>
      </c>
    </row>
    <row r="12" spans="2:4">
      <c r="B12" s="13">
        <v>20</v>
      </c>
      <c r="C12" s="14">
        <v>20</v>
      </c>
    </row>
    <row r="13" spans="2:4">
      <c r="B13" s="13">
        <v>25</v>
      </c>
      <c r="C13" s="14">
        <v>25</v>
      </c>
    </row>
    <row r="14" spans="2:4">
      <c r="B14" s="13">
        <v>28</v>
      </c>
      <c r="C14" s="14">
        <v>28</v>
      </c>
      <c r="D14" s="15">
        <f>GETPIVOTDATA("Total Value",$B$6)</f>
        <v>25.874576271186442</v>
      </c>
    </row>
    <row r="15" spans="2:4">
      <c r="B15" s="13">
        <v>45</v>
      </c>
      <c r="C15" s="14">
        <v>45</v>
      </c>
    </row>
    <row r="16" spans="2:4">
      <c r="B16" s="13">
        <v>50</v>
      </c>
      <c r="C16" s="14">
        <v>50</v>
      </c>
    </row>
    <row r="17" spans="2:3">
      <c r="B17" s="13">
        <v>55</v>
      </c>
      <c r="C17" s="14">
        <v>55</v>
      </c>
    </row>
    <row r="18" spans="2:3">
      <c r="B18" s="13">
        <v>57</v>
      </c>
      <c r="C18" s="14">
        <v>57</v>
      </c>
    </row>
    <row r="19" spans="2:3">
      <c r="B19" s="13">
        <v>58</v>
      </c>
      <c r="C19" s="14">
        <v>58</v>
      </c>
    </row>
    <row r="20" spans="2:3">
      <c r="B20" s="13">
        <v>60</v>
      </c>
      <c r="C20" s="14">
        <v>60</v>
      </c>
    </row>
    <row r="21" spans="2:3">
      <c r="B21" s="13">
        <v>62</v>
      </c>
      <c r="C21" s="14">
        <v>62</v>
      </c>
    </row>
    <row r="22" spans="2:3">
      <c r="B22" s="13" t="s">
        <v>316</v>
      </c>
      <c r="C22" s="14"/>
    </row>
    <row r="23" spans="2:3">
      <c r="B23" s="13" t="s">
        <v>317</v>
      </c>
      <c r="C23" s="14">
        <v>25.874576271186442</v>
      </c>
    </row>
    <row r="25" spans="2:3">
      <c r="B25" t="s">
        <v>320</v>
      </c>
      <c r="C25" t="s">
        <v>321</v>
      </c>
    </row>
    <row r="26" spans="2:3">
      <c r="B26" s="12" t="s">
        <v>16</v>
      </c>
      <c r="C26" t="s">
        <v>329</v>
      </c>
    </row>
    <row r="28" spans="2:3">
      <c r="B28" s="12" t="s">
        <v>315</v>
      </c>
      <c r="C28" t="s">
        <v>318</v>
      </c>
    </row>
    <row r="29" spans="2:3">
      <c r="B29" s="13">
        <v>3</v>
      </c>
      <c r="C29" s="14">
        <v>33</v>
      </c>
    </row>
    <row r="30" spans="2:3">
      <c r="B30" s="13">
        <v>4</v>
      </c>
      <c r="C30" s="14">
        <v>156</v>
      </c>
    </row>
    <row r="31" spans="2:3">
      <c r="B31" s="13">
        <v>5</v>
      </c>
      <c r="C31" s="14">
        <v>255</v>
      </c>
    </row>
    <row r="32" spans="2:3">
      <c r="B32" s="13">
        <v>15</v>
      </c>
      <c r="C32" s="14">
        <v>465</v>
      </c>
    </row>
    <row r="33" spans="2:4">
      <c r="B33" s="13">
        <v>18</v>
      </c>
      <c r="C33" s="14">
        <v>198</v>
      </c>
    </row>
    <row r="34" spans="2:4">
      <c r="B34" s="13">
        <v>20</v>
      </c>
      <c r="C34" s="14">
        <v>860</v>
      </c>
    </row>
    <row r="35" spans="2:4">
      <c r="B35" s="13">
        <v>25</v>
      </c>
      <c r="C35" s="14">
        <v>250</v>
      </c>
    </row>
    <row r="36" spans="2:4">
      <c r="B36" s="13">
        <v>28</v>
      </c>
      <c r="C36" s="14">
        <v>28</v>
      </c>
      <c r="D36" s="15">
        <f>GETPIVOTDATA("Total Value",$B$28)</f>
        <v>7633</v>
      </c>
    </row>
    <row r="37" spans="2:4">
      <c r="B37" s="13">
        <v>45</v>
      </c>
      <c r="C37" s="14">
        <v>990</v>
      </c>
    </row>
    <row r="38" spans="2:4">
      <c r="B38" s="13">
        <v>50</v>
      </c>
      <c r="C38" s="14">
        <v>750</v>
      </c>
    </row>
    <row r="39" spans="2:4">
      <c r="B39" s="13">
        <v>55</v>
      </c>
      <c r="C39" s="14">
        <v>55</v>
      </c>
    </row>
    <row r="40" spans="2:4">
      <c r="B40" s="13">
        <v>57</v>
      </c>
      <c r="C40" s="14">
        <v>57</v>
      </c>
    </row>
    <row r="41" spans="2:4">
      <c r="B41" s="13">
        <v>58</v>
      </c>
      <c r="C41" s="14">
        <v>1334</v>
      </c>
    </row>
    <row r="42" spans="2:4">
      <c r="B42" s="13">
        <v>60</v>
      </c>
      <c r="C42" s="14">
        <v>900</v>
      </c>
    </row>
    <row r="43" spans="2:4">
      <c r="B43" s="13">
        <v>62</v>
      </c>
      <c r="C43" s="14">
        <v>1302</v>
      </c>
    </row>
    <row r="44" spans="2:4">
      <c r="B44" s="13" t="s">
        <v>316</v>
      </c>
      <c r="C44" s="14"/>
    </row>
    <row r="45" spans="2:4">
      <c r="B45" s="13" t="s">
        <v>317</v>
      </c>
      <c r="C45" s="14">
        <v>7633</v>
      </c>
    </row>
    <row r="50" spans="2:4">
      <c r="B50" t="s">
        <v>322</v>
      </c>
      <c r="C50" t="s">
        <v>323</v>
      </c>
    </row>
    <row r="51" spans="2:4">
      <c r="B51" s="12" t="s">
        <v>16</v>
      </c>
      <c r="C51" t="s">
        <v>329</v>
      </c>
    </row>
    <row r="53" spans="2:4">
      <c r="B53" s="12" t="s">
        <v>315</v>
      </c>
      <c r="C53" t="s">
        <v>324</v>
      </c>
    </row>
    <row r="54" spans="2:4">
      <c r="B54" s="13">
        <v>0</v>
      </c>
      <c r="C54" s="14">
        <v>0</v>
      </c>
    </row>
    <row r="55" spans="2:4">
      <c r="B55" s="13">
        <v>1</v>
      </c>
      <c r="C55" s="14">
        <v>39</v>
      </c>
    </row>
    <row r="56" spans="2:4">
      <c r="B56" s="13">
        <v>2</v>
      </c>
      <c r="C56" s="14">
        <v>24</v>
      </c>
    </row>
    <row r="57" spans="2:4">
      <c r="B57" s="13">
        <v>3</v>
      </c>
      <c r="C57" s="14">
        <v>63</v>
      </c>
    </row>
    <row r="58" spans="2:4">
      <c r="B58" s="13">
        <v>5</v>
      </c>
      <c r="C58" s="14">
        <v>125</v>
      </c>
    </row>
    <row r="59" spans="2:4">
      <c r="B59" s="13">
        <v>7</v>
      </c>
      <c r="C59" s="14">
        <v>161</v>
      </c>
    </row>
    <row r="60" spans="2:4">
      <c r="B60" s="13">
        <v>8</v>
      </c>
      <c r="C60" s="14">
        <v>8</v>
      </c>
    </row>
    <row r="61" spans="2:4">
      <c r="B61" s="13">
        <v>10</v>
      </c>
      <c r="C61" s="14">
        <v>440</v>
      </c>
      <c r="D61" s="15">
        <f>GETPIVOTDATA("Coupon Value",$B$53)</f>
        <v>2122</v>
      </c>
    </row>
    <row r="62" spans="2:4">
      <c r="B62" s="13">
        <v>12</v>
      </c>
      <c r="C62" s="14">
        <v>132</v>
      </c>
    </row>
    <row r="63" spans="2:4">
      <c r="B63" s="13">
        <v>15</v>
      </c>
      <c r="C63" s="14">
        <v>690</v>
      </c>
    </row>
    <row r="64" spans="2:4">
      <c r="B64" s="13">
        <v>20</v>
      </c>
      <c r="C64" s="14">
        <v>440</v>
      </c>
    </row>
    <row r="65" spans="2:3">
      <c r="B65" s="13" t="s">
        <v>316</v>
      </c>
      <c r="C65" s="14"/>
    </row>
    <row r="66" spans="2:3">
      <c r="B66" s="13" t="s">
        <v>317</v>
      </c>
      <c r="C66" s="14">
        <v>2122</v>
      </c>
    </row>
    <row r="68" spans="2:3">
      <c r="B68" t="s">
        <v>325</v>
      </c>
      <c r="C68" t="s">
        <v>326</v>
      </c>
    </row>
    <row r="71" spans="2:3">
      <c r="B71" s="12" t="s">
        <v>315</v>
      </c>
      <c r="C71" t="s">
        <v>327</v>
      </c>
    </row>
    <row r="72" spans="2:3">
      <c r="B72" s="13">
        <v>0</v>
      </c>
      <c r="C72" s="14">
        <v>0</v>
      </c>
    </row>
    <row r="73" spans="2:3">
      <c r="B73" s="13">
        <v>1</v>
      </c>
      <c r="C73" s="14">
        <v>1</v>
      </c>
    </row>
    <row r="74" spans="2:3">
      <c r="B74" s="13">
        <v>2</v>
      </c>
      <c r="C74" s="14">
        <v>2</v>
      </c>
    </row>
    <row r="75" spans="2:3">
      <c r="B75" s="13">
        <v>3</v>
      </c>
      <c r="C75" s="14">
        <v>3</v>
      </c>
    </row>
    <row r="76" spans="2:3">
      <c r="B76" s="13">
        <v>5</v>
      </c>
      <c r="C76" s="14">
        <v>5</v>
      </c>
    </row>
    <row r="77" spans="2:3">
      <c r="B77" s="13">
        <v>7</v>
      </c>
      <c r="C77" s="14">
        <v>7</v>
      </c>
    </row>
    <row r="78" spans="2:3">
      <c r="B78" s="13">
        <v>8</v>
      </c>
      <c r="C78" s="14">
        <v>8</v>
      </c>
    </row>
    <row r="79" spans="2:3">
      <c r="B79" s="13">
        <v>10</v>
      </c>
      <c r="C79" s="14">
        <v>10</v>
      </c>
    </row>
    <row r="80" spans="2:3">
      <c r="B80" s="13">
        <v>12</v>
      </c>
      <c r="C80" s="14">
        <v>12</v>
      </c>
    </row>
    <row r="81" spans="2:3">
      <c r="B81" s="13">
        <v>15</v>
      </c>
      <c r="C81" s="14">
        <v>15</v>
      </c>
    </row>
    <row r="82" spans="2:3">
      <c r="B82" s="13">
        <v>20</v>
      </c>
      <c r="C82" s="14">
        <v>20</v>
      </c>
    </row>
    <row r="83" spans="2:3">
      <c r="B83" s="13" t="s">
        <v>316</v>
      </c>
      <c r="C83" s="14"/>
    </row>
    <row r="84" spans="2:3">
      <c r="B84" s="13" t="s">
        <v>317</v>
      </c>
      <c r="C84" s="14">
        <v>7.1932203389830507</v>
      </c>
    </row>
    <row r="88" spans="2:3">
      <c r="B88" t="s">
        <v>328</v>
      </c>
      <c r="C88" t="s">
        <v>330</v>
      </c>
    </row>
    <row r="90" spans="2:3">
      <c r="B90" s="12" t="s">
        <v>315</v>
      </c>
      <c r="C90" t="s">
        <v>318</v>
      </c>
    </row>
    <row r="91" spans="2:3">
      <c r="B91" s="13" t="s">
        <v>23</v>
      </c>
      <c r="C91" s="14">
        <v>3847</v>
      </c>
    </row>
    <row r="92" spans="2:3">
      <c r="B92" s="13" t="s">
        <v>19</v>
      </c>
      <c r="C92" s="14">
        <v>3786</v>
      </c>
    </row>
    <row r="93" spans="2:3">
      <c r="B93" s="13" t="s">
        <v>317</v>
      </c>
      <c r="C93" s="14">
        <v>7633</v>
      </c>
    </row>
    <row r="95" spans="2:3">
      <c r="B95" s="12" t="s">
        <v>16</v>
      </c>
      <c r="C95" t="s">
        <v>329</v>
      </c>
    </row>
    <row r="97" spans="2:4">
      <c r="B97" s="12" t="s">
        <v>315</v>
      </c>
      <c r="C97" t="s">
        <v>331</v>
      </c>
    </row>
    <row r="98" spans="2:4">
      <c r="B98" s="13" t="s">
        <v>23</v>
      </c>
      <c r="C98" s="14">
        <v>1500</v>
      </c>
    </row>
    <row r="99" spans="2:4">
      <c r="B99" s="13" t="s">
        <v>19</v>
      </c>
      <c r="C99" s="14">
        <v>1440</v>
      </c>
    </row>
    <row r="100" spans="2:4">
      <c r="B100" s="13" t="s">
        <v>317</v>
      </c>
      <c r="C100" s="14">
        <v>2940</v>
      </c>
      <c r="D100" s="15">
        <f>GETPIVOTDATA("EA Play Season Pass
Price",$B$97)</f>
        <v>2940</v>
      </c>
    </row>
    <row r="102" spans="2:4">
      <c r="B102" s="12" t="s">
        <v>16</v>
      </c>
      <c r="C102" t="s">
        <v>329</v>
      </c>
    </row>
    <row r="104" spans="2:4">
      <c r="B104" s="12" t="s">
        <v>315</v>
      </c>
      <c r="C104" t="s">
        <v>332</v>
      </c>
    </row>
    <row r="105" spans="2:4">
      <c r="B105" s="13" t="s">
        <v>23</v>
      </c>
      <c r="C105" s="14">
        <v>1940</v>
      </c>
    </row>
    <row r="106" spans="2:4">
      <c r="B106" s="13" t="s">
        <v>19</v>
      </c>
      <c r="C106" s="14">
        <v>1940</v>
      </c>
    </row>
    <row r="107" spans="2:4">
      <c r="B107" s="13" t="s">
        <v>317</v>
      </c>
      <c r="C107" s="14">
        <v>3880</v>
      </c>
      <c r="D107" s="15">
        <f>GETPIVOTDATA("Minecraft Season Pass Price",$B$104)</f>
        <v>3880</v>
      </c>
    </row>
    <row r="108" spans="2:4">
      <c r="B108" s="12" t="s">
        <v>16</v>
      </c>
      <c r="C108" t="s">
        <v>329</v>
      </c>
    </row>
    <row r="110" spans="2:4">
      <c r="B110" s="12" t="s">
        <v>315</v>
      </c>
      <c r="C110" t="s">
        <v>333</v>
      </c>
    </row>
    <row r="111" spans="2:4">
      <c r="B111" s="13">
        <v>5</v>
      </c>
      <c r="C111" s="14">
        <v>505</v>
      </c>
    </row>
    <row r="112" spans="2:4">
      <c r="B112" s="13">
        <v>10</v>
      </c>
      <c r="C112" s="14">
        <v>960</v>
      </c>
    </row>
    <row r="113" spans="2:4">
      <c r="B113" s="13">
        <v>15</v>
      </c>
      <c r="C113" s="14">
        <v>1470</v>
      </c>
    </row>
    <row r="114" spans="2:4">
      <c r="B114" s="13" t="s">
        <v>316</v>
      </c>
      <c r="C114" s="14"/>
    </row>
    <row r="115" spans="2:4">
      <c r="B115" s="13" t="s">
        <v>317</v>
      </c>
      <c r="C115" s="14">
        <v>2935</v>
      </c>
      <c r="D115" s="15">
        <f>GETPIVOTDATA("Subscription Price",$B$110)</f>
        <v>2935</v>
      </c>
    </row>
  </sheetData>
  <pageMargins left="0.511811024" right="0.511811024" top="0.78740157499999996" bottom="0.78740157499999996" header="0.31496062000000002" footer="0.31496062000000002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2"/>
  <sheetViews>
    <sheetView showGridLines="0" tabSelected="1" zoomScale="80" zoomScaleNormal="80" workbookViewId="0">
      <selection activeCell="A30" sqref="A30"/>
    </sheetView>
  </sheetViews>
  <sheetFormatPr defaultRowHeight="13.8"/>
  <cols>
    <col min="1" max="1" width="23.3984375" customWidth="1"/>
    <col min="2" max="2" width="3.59765625" customWidth="1"/>
    <col min="12" max="12" width="6.59765625" customWidth="1"/>
  </cols>
  <sheetData>
    <row r="1" spans="1:28">
      <c r="A1" s="4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7.8" customHeight="1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851b35d3-0456-4d6a-bc2f-da927e91d15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2026-03-18T14:47:54Z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